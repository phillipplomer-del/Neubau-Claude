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ip.plomer\Downloads\Produktionsplanung\"/>
    </mc:Choice>
  </mc:AlternateContent>
  <xr:revisionPtr revIDLastSave="0" documentId="13_ncr:1_{3567EECB-175E-419C-9173-DCBD364E9443}" xr6:coauthVersionLast="47" xr6:coauthVersionMax="47" xr10:uidLastSave="{00000000-0000-0000-0000-000000000000}"/>
  <bookViews>
    <workbookView xWindow="-38510" yWindow="-10820" windowWidth="38620" windowHeight="21100" xr2:uid="{18514B3A-0EB1-4BE9-AC41-68CD22C23E2B}"/>
  </bookViews>
  <sheets>
    <sheet name="Tabelle1" sheetId="1" r:id="rId1"/>
    <sheet name="Tabelle2" sheetId="2" r:id="rId2"/>
  </sheets>
  <definedNames>
    <definedName name="_xlnm._FilterDatabase" localSheetId="0" hidden="1">Tabelle1!$A$1:$V$1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2" l="1"/>
  <c r="C63" i="2"/>
  <c r="B63" i="2"/>
  <c r="G62" i="2"/>
  <c r="C62" i="2"/>
  <c r="B62" i="2"/>
  <c r="G61" i="2"/>
  <c r="B61" i="2"/>
  <c r="G60" i="2"/>
  <c r="C60" i="2"/>
  <c r="B60" i="2"/>
  <c r="G59" i="2"/>
  <c r="C59" i="2"/>
  <c r="B59" i="2"/>
  <c r="G58" i="2"/>
  <c r="C58" i="2"/>
  <c r="B58" i="2"/>
  <c r="G57" i="2"/>
  <c r="C57" i="2"/>
  <c r="B57" i="2"/>
  <c r="G56" i="2"/>
  <c r="C56" i="2"/>
  <c r="B56" i="2"/>
  <c r="G55" i="2"/>
  <c r="C55" i="2"/>
  <c r="B55" i="2"/>
  <c r="G54" i="2"/>
  <c r="C54" i="2"/>
  <c r="B54" i="2"/>
  <c r="G53" i="2"/>
  <c r="C53" i="2"/>
  <c r="B53" i="2"/>
  <c r="G52" i="2"/>
  <c r="C52" i="2"/>
  <c r="B52" i="2"/>
  <c r="G51" i="2"/>
  <c r="C51" i="2"/>
  <c r="B51" i="2"/>
  <c r="G50" i="2"/>
  <c r="C50" i="2"/>
  <c r="B50" i="2"/>
  <c r="G49" i="2"/>
  <c r="C49" i="2"/>
  <c r="B49" i="2"/>
  <c r="G48" i="2"/>
  <c r="C48" i="2"/>
  <c r="B48" i="2"/>
  <c r="G47" i="2"/>
  <c r="C47" i="2"/>
  <c r="B47" i="2"/>
  <c r="G46" i="2"/>
  <c r="G45" i="2"/>
  <c r="G44" i="2"/>
  <c r="G43" i="2"/>
  <c r="G42" i="2"/>
  <c r="C42" i="2"/>
  <c r="B42" i="2"/>
  <c r="G41" i="2"/>
  <c r="C41" i="2"/>
  <c r="B41" i="2"/>
  <c r="G40" i="2"/>
  <c r="C40" i="2"/>
  <c r="B40" i="2"/>
  <c r="G39" i="2"/>
  <c r="C39" i="2"/>
  <c r="B39" i="2"/>
  <c r="G38" i="2"/>
  <c r="C38" i="2"/>
  <c r="B38" i="2"/>
  <c r="G37" i="2"/>
  <c r="C37" i="2"/>
  <c r="B37" i="2"/>
  <c r="G36" i="2"/>
  <c r="C36" i="2"/>
  <c r="B36" i="2"/>
  <c r="G35" i="2"/>
  <c r="C35" i="2"/>
  <c r="B35" i="2"/>
  <c r="G34" i="2"/>
  <c r="C34" i="2"/>
  <c r="B34" i="2"/>
  <c r="G33" i="2"/>
  <c r="C33" i="2"/>
  <c r="B33" i="2"/>
  <c r="G32" i="2"/>
  <c r="C32" i="2"/>
  <c r="B32" i="2"/>
  <c r="G31" i="2"/>
  <c r="C31" i="2"/>
  <c r="B31" i="2"/>
  <c r="G30" i="2"/>
  <c r="C30" i="2"/>
  <c r="B30" i="2"/>
  <c r="G29" i="2"/>
  <c r="C29" i="2"/>
  <c r="B29" i="2"/>
  <c r="G28" i="2"/>
  <c r="C28" i="2"/>
  <c r="B28" i="2"/>
  <c r="G27" i="2"/>
  <c r="C27" i="2"/>
  <c r="B27" i="2"/>
  <c r="G26" i="2"/>
  <c r="C26" i="2"/>
  <c r="B26" i="2"/>
  <c r="G25" i="2"/>
  <c r="C25" i="2"/>
  <c r="B25" i="2"/>
  <c r="G24" i="2"/>
  <c r="C24" i="2"/>
  <c r="B24" i="2"/>
  <c r="G23" i="2"/>
  <c r="C23" i="2"/>
  <c r="B23" i="2"/>
  <c r="G22" i="2"/>
  <c r="C22" i="2"/>
  <c r="B22" i="2"/>
  <c r="G21" i="2"/>
  <c r="C21" i="2"/>
  <c r="B21" i="2"/>
  <c r="G20" i="2"/>
  <c r="C20" i="2"/>
  <c r="B20" i="2"/>
  <c r="G19" i="2"/>
  <c r="C19" i="2"/>
  <c r="B19" i="2"/>
  <c r="G18" i="2"/>
  <c r="C18" i="2"/>
  <c r="B18" i="2"/>
  <c r="G17" i="2"/>
  <c r="C17" i="2"/>
  <c r="B17" i="2"/>
  <c r="G16" i="2"/>
  <c r="C16" i="2"/>
  <c r="B16" i="2"/>
  <c r="G15" i="2"/>
  <c r="C15" i="2"/>
  <c r="B15" i="2"/>
  <c r="G14" i="2"/>
  <c r="C14" i="2"/>
  <c r="B14" i="2"/>
  <c r="G13" i="2"/>
  <c r="C13" i="2"/>
  <c r="B13" i="2"/>
  <c r="G12" i="2"/>
  <c r="C12" i="2"/>
  <c r="B12" i="2"/>
  <c r="G11" i="2"/>
  <c r="C11" i="2"/>
  <c r="B11" i="2"/>
  <c r="G10" i="2"/>
  <c r="C10" i="2"/>
  <c r="B10" i="2"/>
  <c r="G9" i="2"/>
  <c r="C9" i="2"/>
  <c r="B9" i="2"/>
  <c r="G8" i="2"/>
  <c r="C8" i="2"/>
  <c r="B8" i="2"/>
  <c r="G7" i="2"/>
  <c r="C7" i="2"/>
  <c r="B7" i="2"/>
  <c r="G6" i="2"/>
  <c r="C6" i="2"/>
  <c r="B6" i="2"/>
  <c r="G5" i="2"/>
  <c r="C5" i="2"/>
  <c r="B5" i="2"/>
  <c r="G4" i="2"/>
  <c r="C4" i="2"/>
  <c r="B4" i="2"/>
  <c r="G3" i="2"/>
  <c r="C3" i="2"/>
  <c r="B3" i="2"/>
  <c r="G2" i="2"/>
  <c r="C2" i="2"/>
  <c r="B2" i="2"/>
</calcChain>
</file>

<file path=xl/sharedStrings.xml><?xml version="1.0" encoding="utf-8"?>
<sst xmlns="http://schemas.openxmlformats.org/spreadsheetml/2006/main" count="673" uniqueCount="399">
  <si>
    <t>Projektnummer</t>
  </si>
  <si>
    <t>Auftraggeber</t>
  </si>
  <si>
    <t>Bezeichnung</t>
  </si>
  <si>
    <t>Artikelnummer</t>
  </si>
  <si>
    <t>Liefertermin AB</t>
  </si>
  <si>
    <t>Projektleiter</t>
  </si>
  <si>
    <t>Projektkategorie</t>
  </si>
  <si>
    <t>Abweichungen</t>
  </si>
  <si>
    <t>Marge €</t>
  </si>
  <si>
    <t>10% gegen VK</t>
  </si>
  <si>
    <t>Negative Marge</t>
  </si>
  <si>
    <t>PM</t>
  </si>
  <si>
    <t>Konstruktion</t>
  </si>
  <si>
    <t>Fertigung</t>
  </si>
  <si>
    <t>Material</t>
  </si>
  <si>
    <t>Controlling</t>
  </si>
  <si>
    <t>Spalte1</t>
  </si>
  <si>
    <t>P45652</t>
  </si>
  <si>
    <t>Pfeiffer UK</t>
  </si>
  <si>
    <t>Calibur Kit</t>
  </si>
  <si>
    <t>TR-8880-19184</t>
  </si>
  <si>
    <t>Thies</t>
  </si>
  <si>
    <t>B</t>
  </si>
  <si>
    <t>KW2125</t>
  </si>
  <si>
    <t>P46079</t>
  </si>
  <si>
    <t>PFEIFFER SWITZERLAND / CH</t>
  </si>
  <si>
    <t xml:space="preserve">Vacuum enclosure (93-02916-99)
Front cover
Rear / Back cover (93-02917)
</t>
  </si>
  <si>
    <t>TR-5550-09681 / TR-5550-09682 / TR-5550-09683</t>
  </si>
  <si>
    <t>Brückner</t>
  </si>
  <si>
    <t>KW32</t>
  </si>
  <si>
    <t>P46336</t>
  </si>
  <si>
    <t>PFEIFFER UK /GB</t>
  </si>
  <si>
    <t>Calibur Set (Kammer, Powder Hopper etc.) Wayland Systeme 2023</t>
  </si>
  <si>
    <t>TR-8880-19184 + TR-8880-18138.B</t>
  </si>
  <si>
    <t>KW46</t>
  </si>
  <si>
    <t>P46749</t>
  </si>
  <si>
    <t>MTU</t>
  </si>
  <si>
    <t xml:space="preserve">Schutzgaskammer </t>
  </si>
  <si>
    <t>Kohlstruck</t>
  </si>
  <si>
    <t>KW45</t>
  </si>
  <si>
    <t>P46842</t>
  </si>
  <si>
    <t>Large Ion Beam Chamber</t>
  </si>
  <si>
    <t>TR-8880-01663.B</t>
  </si>
  <si>
    <t>KW44</t>
  </si>
  <si>
    <t>P46913</t>
  </si>
  <si>
    <t>intega  - 143935</t>
  </si>
  <si>
    <t>verschiedene Gasanschlüsse,Male Nut etc.</t>
  </si>
  <si>
    <t>TR-5550-19866, TR-5550-10574, TR-5550-10578, TR-5550-10568, TR-5550-10618, TR-5550-10564, TR-5550-19</t>
  </si>
  <si>
    <t>C</t>
  </si>
  <si>
    <t>P46987</t>
  </si>
  <si>
    <t>PV UK</t>
  </si>
  <si>
    <t>Konstruktionsstudio - QX Kammern</t>
  </si>
  <si>
    <t>TR-8880-19511 - 14</t>
  </si>
  <si>
    <t>A</t>
  </si>
  <si>
    <t>P47047</t>
  </si>
  <si>
    <t>PFEIFFER FRANCE / FR - adixen</t>
  </si>
  <si>
    <t>LF1C1a en LFA</t>
  </si>
  <si>
    <t>TR-8880-03929</t>
  </si>
  <si>
    <t>KW47</t>
  </si>
  <si>
    <t>P47309</t>
  </si>
  <si>
    <t>PFEIFFER USA /US</t>
  </si>
  <si>
    <t>MPEX Helicon Fueling Ring Vessel</t>
  </si>
  <si>
    <t>TR-8880-00772</t>
  </si>
  <si>
    <t>P47317</t>
  </si>
  <si>
    <t>DN750 cubical vacuum chamber, with racks</t>
  </si>
  <si>
    <t>TR-8880-19611</t>
  </si>
  <si>
    <t>Hose</t>
  </si>
  <si>
    <t>P47323</t>
  </si>
  <si>
    <t>scia Systems GmbH - 145958</t>
  </si>
  <si>
    <t xml:space="preserve">auf Basis P0394 
-	Erste Kammer KW40/24  bitte im Detail Rückmeldung zu möglichen Deadlines
-	Zweite Kammer KW10/25
-	Dritte Kammer KW22/25
</t>
  </si>
  <si>
    <t>TR-8880-19644.A</t>
  </si>
  <si>
    <t>P47334</t>
  </si>
  <si>
    <t>Europascal</t>
  </si>
  <si>
    <t>Kugelkammer 500 mm mit CF Abgängen</t>
  </si>
  <si>
    <t>P47353</t>
  </si>
  <si>
    <t>115 x Gasanschluss kompl., Gasleitung Gas out RKF 1950I 21</t>
  </si>
  <si>
    <t xml:space="preserve">TR-5550-10618 </t>
  </si>
  <si>
    <t>P47419</t>
  </si>
  <si>
    <t>GSI Helmholtzzentrum</t>
  </si>
  <si>
    <t>Strahlführungskammer -  Ausschreibung</t>
  </si>
  <si>
    <t>TR-8880-08909</t>
  </si>
  <si>
    <t>P47506</t>
  </si>
  <si>
    <t>TU Braunschweig</t>
  </si>
  <si>
    <t>Levitationstrommel</t>
  </si>
  <si>
    <t>Heupel</t>
  </si>
  <si>
    <t>P47521</t>
  </si>
  <si>
    <t>LR Pure Systems</t>
  </si>
  <si>
    <t>verschiedene Gasanaschlüsse, die jährlich bestellt werden</t>
  </si>
  <si>
    <t>u. a. TR-5550-10568</t>
  </si>
  <si>
    <t>P47551</t>
  </si>
  <si>
    <t>PFEIFFER BENELUX</t>
  </si>
  <si>
    <t>horizontal vacuum chamber</t>
  </si>
  <si>
    <t>TR-8880-19709</t>
  </si>
  <si>
    <t>Plomer</t>
  </si>
  <si>
    <t>P47591</t>
  </si>
  <si>
    <t>5x TR-8880-19295.A Beladekammer
5x TR-8880-19296.A Loadlockkammer
5x TR-5550-20168.A Gestell
5x TR-8880-19767 Beladesystem
5x TR-5550-22088 Blindflanschset Loadlockkammer
5x TR-5550-22089 Blindflanschset Beladekammer</t>
  </si>
  <si>
    <t>TR-8880-19295.A; TR-8880-19296.A; TR-5550-20168.A; TR-8880-19767; TR-5550-22088; TR-5550-22089</t>
  </si>
  <si>
    <t>Langer</t>
  </si>
  <si>
    <t>P47599</t>
  </si>
  <si>
    <t>VMD560 Kammer, 10x</t>
  </si>
  <si>
    <t>TR-8880-01838.F</t>
  </si>
  <si>
    <t>P47656</t>
  </si>
  <si>
    <t>RI research</t>
  </si>
  <si>
    <t>MCTL-Ports</t>
  </si>
  <si>
    <t>TR-5550-10506.A</t>
  </si>
  <si>
    <t>P47657</t>
  </si>
  <si>
    <t>Sentech Instruments Berlin - sentech instruments gmbh</t>
  </si>
  <si>
    <t>TR-8880-08825.A Rezipient, SI500-348-klTor Rev.7 komplett oder
entsprechender Nachfolger für 2025</t>
  </si>
  <si>
    <t>TR-8880-08825.A</t>
  </si>
  <si>
    <t>P47676</t>
  </si>
  <si>
    <t>Trumpf</t>
  </si>
  <si>
    <t>Planet Kammern</t>
  </si>
  <si>
    <t>TR-8880-19746</t>
  </si>
  <si>
    <t>P47683</t>
  </si>
  <si>
    <t>Hitachi</t>
  </si>
  <si>
    <t>Process chamber and Lower electrode parts</t>
  </si>
  <si>
    <t>TBD</t>
  </si>
  <si>
    <t>P47709</t>
  </si>
  <si>
    <t>cubical chamber 1760x1000x1550 mm</t>
  </si>
  <si>
    <t>TR-8880-19776</t>
  </si>
  <si>
    <t>P47727</t>
  </si>
  <si>
    <t>Fraunhofer ILT Aachen</t>
  </si>
  <si>
    <t>Probenkammer und Wellbalg</t>
  </si>
  <si>
    <t>KW43</t>
  </si>
  <si>
    <t>P47778</t>
  </si>
  <si>
    <t>Thermik Gerätebau GmbH</t>
  </si>
  <si>
    <t>Retorte &amp; Pumpenpaket</t>
  </si>
  <si>
    <t>P47780</t>
  </si>
  <si>
    <t>PV Benelux</t>
  </si>
  <si>
    <t>Vacuum Vessel</t>
  </si>
  <si>
    <t>TR-8880-19849</t>
  </si>
  <si>
    <t>P47811</t>
  </si>
  <si>
    <t>Uni Bremen</t>
  </si>
  <si>
    <t>Marslabor</t>
  </si>
  <si>
    <t>TR-5550-12484; TR-5550-12485; TR-5550-12488</t>
  </si>
  <si>
    <t>P47838</t>
  </si>
  <si>
    <t>DLR Stuttgard</t>
  </si>
  <si>
    <t>Zylindrische Tanksimulationskammer DN250</t>
  </si>
  <si>
    <t>TR-8880-02814</t>
  </si>
  <si>
    <t>P47852</t>
  </si>
  <si>
    <t>P47853</t>
  </si>
  <si>
    <t>Busch ANZ Pty Ltd. /AU</t>
  </si>
  <si>
    <t xml:space="preserve">Cylindrical chamber 1,2m </t>
  </si>
  <si>
    <t>TR-8880-19837</t>
  </si>
  <si>
    <t>P47867</t>
  </si>
  <si>
    <t>ASML</t>
  </si>
  <si>
    <t>Vakuumkammer mit Pump- und Messtechnik sowie einer SPS-Steuerung</t>
  </si>
  <si>
    <t>P47875</t>
  </si>
  <si>
    <t>Thales Deutschland GmbH (ehem. thales electron gmbh)</t>
  </si>
  <si>
    <t>Jährliche Wartung bzw. Überholung der Öfen - Pumpstand 1 - K-THAL-Ofen 1</t>
  </si>
  <si>
    <t>TR-2220-00146</t>
  </si>
  <si>
    <t>KW13</t>
  </si>
  <si>
    <t>P47894</t>
  </si>
  <si>
    <t>KIT - Campus Nord (ex - fz k)  - Kunde 45220</t>
  </si>
  <si>
    <t>8x Mirror Count Cubes</t>
  </si>
  <si>
    <t>TR-5550-22220</t>
  </si>
  <si>
    <t>P47908</t>
  </si>
  <si>
    <t>Ausschreibung Lot 1 and Lot 2</t>
  </si>
  <si>
    <t>TR-5550-12120 - TR-5550-12125, TR-8880-03946 - TR-8880-03950</t>
  </si>
  <si>
    <t>P47910</t>
  </si>
  <si>
    <t>Hader Digital</t>
  </si>
  <si>
    <t>UHV chamber gemäß Zeichnung</t>
  </si>
  <si>
    <t>TR-8880-08934</t>
  </si>
  <si>
    <t>P47916</t>
  </si>
  <si>
    <t>Rezipienten 2026</t>
  </si>
  <si>
    <t>P47917</t>
  </si>
  <si>
    <t>Carl Zeiss SMT GmbH (Jena) - 99173</t>
  </si>
  <si>
    <t>Vakuumflansch OMC</t>
  </si>
  <si>
    <t>TR-5550-12107</t>
  </si>
  <si>
    <t>P47944</t>
  </si>
  <si>
    <t>Condias</t>
  </si>
  <si>
    <t>Reaktorkammer mit Gestell</t>
  </si>
  <si>
    <t>3x TR-8880-03681.C</t>
  </si>
  <si>
    <t>P47959</t>
  </si>
  <si>
    <t>DESY</t>
  </si>
  <si>
    <t>Dipolkammer</t>
  </si>
  <si>
    <t>TR-8880-03953</t>
  </si>
  <si>
    <t>P47969</t>
  </si>
  <si>
    <t>TRUMPF Lasersystems for Semiconductor</t>
  </si>
  <si>
    <t>Vakuumverrohrung</t>
  </si>
  <si>
    <t>TR-5550-11761.A ; TR-5550-22359; TR-5550-11760.A</t>
  </si>
  <si>
    <t>P47970</t>
  </si>
  <si>
    <t>Exentec Germany GmbH (ehemals Intega GmbH), Kirchheim - 143935</t>
  </si>
  <si>
    <t>Verrohrungsbaugruppe_MF-Eple 2 (In)</t>
  </si>
  <si>
    <t>TR-5550-10739</t>
  </si>
  <si>
    <t>P47979</t>
  </si>
  <si>
    <t>Pfeiffer Vakuum</t>
  </si>
  <si>
    <t>Uebergangsstueck DN250 ISO-F / DN250 ISO-K</t>
  </si>
  <si>
    <t>P47981</t>
  </si>
  <si>
    <t>HZDR</t>
  </si>
  <si>
    <t>Kammer Projekt HIBEF-Plasmaspiegelkammer</t>
  </si>
  <si>
    <t>P47988</t>
  </si>
  <si>
    <t>2x SBG_Dump_6MeV_Kammer
D10000000930609/A001</t>
  </si>
  <si>
    <t>TR-8880-03960</t>
  </si>
  <si>
    <t>P48001</t>
  </si>
  <si>
    <t>PV FR</t>
  </si>
  <si>
    <t>Tender CEA Saclay, Titan projekt</t>
  </si>
  <si>
    <t>TR-5550-12217 - TR-5550-12226</t>
  </si>
  <si>
    <t>P48013</t>
  </si>
  <si>
    <t>Kyocera</t>
  </si>
  <si>
    <t>F559-126-006 Länge 964mm (DN130CF)/ F559-040-009 Länge 964mm (DN40CF)</t>
  </si>
  <si>
    <t>c</t>
  </si>
  <si>
    <t>P48014</t>
  </si>
  <si>
    <t>Axilon</t>
  </si>
  <si>
    <t>Vakuumkammer V4</t>
  </si>
  <si>
    <t>30.11.</t>
  </si>
  <si>
    <t>P48024</t>
  </si>
  <si>
    <t>Apollon</t>
  </si>
  <si>
    <t>Kammer rechteckig</t>
  </si>
  <si>
    <t>P48028</t>
  </si>
  <si>
    <t>MPI Greifswald</t>
  </si>
  <si>
    <t>Vakuumleitung für Impurity Powder Dropper
bestehend aus 3x1 Rohrstücken</t>
  </si>
  <si>
    <t>P48029</t>
  </si>
  <si>
    <t>ASML Taiwan</t>
  </si>
  <si>
    <t>Valve Assy</t>
  </si>
  <si>
    <t>TR-5550-19626.B</t>
  </si>
  <si>
    <t>P48035</t>
  </si>
  <si>
    <t>PV US</t>
  </si>
  <si>
    <t>Ersatztüren</t>
  </si>
  <si>
    <t>TR-5550-22189; TR-5550-22190; TR-5550-22191</t>
  </si>
  <si>
    <t>P48037</t>
  </si>
  <si>
    <t>West</t>
  </si>
  <si>
    <t>VMD1260</t>
  </si>
  <si>
    <t>P48053</t>
  </si>
  <si>
    <t>P48060</t>
  </si>
  <si>
    <t>Kammern</t>
  </si>
  <si>
    <t>TR-8880-08957</t>
  </si>
  <si>
    <t>P48070</t>
  </si>
  <si>
    <t>Carl Zeiss SMT GmbH (Oberkochen) - 99180</t>
  </si>
  <si>
    <t>Flansch DN400 RGA kompl., 000000-2756-720</t>
  </si>
  <si>
    <t>TR-5550-12334</t>
  </si>
  <si>
    <t>P48079</t>
  </si>
  <si>
    <t xml:space="preserve">Chamber </t>
  </si>
  <si>
    <t>TR-8880-19858</t>
  </si>
  <si>
    <t>P48089</t>
  </si>
  <si>
    <t>Kiutra</t>
  </si>
  <si>
    <t xml:space="preserve">Kammer 1m (h) x 1m (l) x 0.8m (w) </t>
  </si>
  <si>
    <t>P48097</t>
  </si>
  <si>
    <t>Busch Vacuum South Africa /ZA</t>
  </si>
  <si>
    <t>vacuum chamber + Custom Inlet</t>
  </si>
  <si>
    <t>TR-8880-19859, TR-5550-22566</t>
  </si>
  <si>
    <t>P48098</t>
  </si>
  <si>
    <t>PV Taiwan</t>
  </si>
  <si>
    <t xml:space="preserve">EP5-XLE PRS RELIEF VALVE ASSY </t>
  </si>
  <si>
    <t>P48107</t>
  </si>
  <si>
    <t>LZH</t>
  </si>
  <si>
    <t>Monochromatorkammer</t>
  </si>
  <si>
    <t>TR-8880-08965, TR-8880-08966</t>
  </si>
  <si>
    <t>P48119</t>
  </si>
  <si>
    <t>Busch UK</t>
  </si>
  <si>
    <t>Water cooled etch platform</t>
  </si>
  <si>
    <t>TR-5550-05499.A</t>
  </si>
  <si>
    <t>Plomer-Thies</t>
  </si>
  <si>
    <t>P48122</t>
  </si>
  <si>
    <t>XFEL</t>
  </si>
  <si>
    <t>"Cookiebox"-Kammer</t>
  </si>
  <si>
    <t>TR-8880-03979, TR-5550-12385</t>
  </si>
  <si>
    <t>P48128</t>
  </si>
  <si>
    <t>Institut für Nanophotonik Göttingen</t>
  </si>
  <si>
    <t>Fräskammer</t>
  </si>
  <si>
    <t>P48135</t>
  </si>
  <si>
    <t>QSEM</t>
  </si>
  <si>
    <t>UHV-Kammer für Elektronenmikroskop P47554</t>
  </si>
  <si>
    <t>TR-8880-02806.A</t>
  </si>
  <si>
    <t>P48142</t>
  </si>
  <si>
    <t>PIA Ablenkmagnetkammern</t>
  </si>
  <si>
    <t>P48149</t>
  </si>
  <si>
    <t>LR Pure</t>
  </si>
  <si>
    <t>Gasanschluss 3 EPLE 2 1950i</t>
  </si>
  <si>
    <t>TR-5550-10569 | TR-5550-10600 | TR-5550-10601</t>
  </si>
  <si>
    <t>P48151</t>
  </si>
  <si>
    <t>P48152</t>
  </si>
  <si>
    <t>HZB</t>
  </si>
  <si>
    <t>Dipolkammern und weitere</t>
  </si>
  <si>
    <t>TR-8880-19884</t>
  </si>
  <si>
    <t>P48170</t>
  </si>
  <si>
    <t>DN750 cubical vacuum chamber</t>
  </si>
  <si>
    <t>TR-8880-19891</t>
  </si>
  <si>
    <t>P48179</t>
  </si>
  <si>
    <t>Haader</t>
  </si>
  <si>
    <t>Heizkammer</t>
  </si>
  <si>
    <t>P48182</t>
  </si>
  <si>
    <t>Assy DSSC Quadrant test chamber</t>
  </si>
  <si>
    <t>TR-8880-03983</t>
  </si>
  <si>
    <t>P48193</t>
  </si>
  <si>
    <t>LEOspace GmbH, Igersheim</t>
  </si>
  <si>
    <t>Thermal-Vakuumkammer (TVAC) / Hoch-Vakuum-Kammer DN1000 Edelstahl</t>
  </si>
  <si>
    <t>TR-8880-02886</t>
  </si>
  <si>
    <t>P48203</t>
  </si>
  <si>
    <t>LR</t>
  </si>
  <si>
    <t>Bellows</t>
  </si>
  <si>
    <t>TR-5550-10568</t>
  </si>
  <si>
    <t>P48204</t>
  </si>
  <si>
    <t>xfel - hamburg - PV-Kd.: 700019075 oder 120058</t>
  </si>
  <si>
    <t>vacuum chamber D10000001160919/A001</t>
  </si>
  <si>
    <t>TR-8880-03985</t>
  </si>
  <si>
    <t>P48206</t>
  </si>
  <si>
    <t>1 x Flanschplatte kpl.</t>
  </si>
  <si>
    <t>TR-5550-22670</t>
  </si>
  <si>
    <t>P48209</t>
  </si>
  <si>
    <t>mpi gravitationsphysik Hannover</t>
  </si>
  <si>
    <t xml:space="preserve">Vakuumkammer DN500 </t>
  </si>
  <si>
    <t>TR-8880-08977</t>
  </si>
  <si>
    <t>P48210</t>
  </si>
  <si>
    <t>Schott AG</t>
  </si>
  <si>
    <t>Kammer mit Deckel, abnehmbar</t>
  </si>
  <si>
    <t>TR-8880-02885</t>
  </si>
  <si>
    <t>P48218</t>
  </si>
  <si>
    <t>Dreebit</t>
  </si>
  <si>
    <t>Kubische Vakuumkammer</t>
  </si>
  <si>
    <t>TR-8880-03988</t>
  </si>
  <si>
    <t>P48219</t>
  </si>
  <si>
    <t>Uni Hannover</t>
  </si>
  <si>
    <t>Vakuumkammer DN500</t>
  </si>
  <si>
    <t>KW39</t>
  </si>
  <si>
    <t>P48231</t>
  </si>
  <si>
    <t>Pfeiffer</t>
  </si>
  <si>
    <t>Montageplatte HiPace 350 nach Zeichnung</t>
  </si>
  <si>
    <t>P48234</t>
  </si>
  <si>
    <t>Carl Zeiss</t>
  </si>
  <si>
    <t>Vakuumdurchfuehrung Gas 000000-2701-770</t>
  </si>
  <si>
    <t>P48254</t>
  </si>
  <si>
    <t>ptb berlin Physikalisch-Technische Bundesanstalt</t>
  </si>
  <si>
    <t>Elli Kammer Upgrade</t>
  </si>
  <si>
    <t>TR-8880-19906</t>
  </si>
  <si>
    <t>P48257</t>
  </si>
  <si>
    <t xml:space="preserve"> Baugruppe Eple 1400 komplett</t>
  </si>
  <si>
    <t>TR-5550-10570</t>
  </si>
  <si>
    <t>P48260</t>
  </si>
  <si>
    <t xml:space="preserve">Customized 6-Way cross DN100 CF </t>
  </si>
  <si>
    <t>P48264</t>
  </si>
  <si>
    <t>Uni Münster - Kernphysik</t>
  </si>
  <si>
    <t>Isoliervakuum Reboiler, Condenser, Buffer, Packung, Buffervolume und Zubehör</t>
  </si>
  <si>
    <t>TR-8880-02900 -02902 -02903 -02904, TR-5550-12544</t>
  </si>
  <si>
    <t>P48278</t>
  </si>
  <si>
    <t>RI  Research</t>
  </si>
  <si>
    <t>2K Behälter und Deckel 2K</t>
  </si>
  <si>
    <t>P48289</t>
  </si>
  <si>
    <t>seitliche Verkleidung für Reaktorkammer</t>
  </si>
  <si>
    <t>TR-5550-22768</t>
  </si>
  <si>
    <t>P48292</t>
  </si>
  <si>
    <t>Pipe DN100 CF l=5300mm</t>
  </si>
  <si>
    <t>P48329</t>
  </si>
  <si>
    <t>Cern</t>
  </si>
  <si>
    <t>Flansche</t>
  </si>
  <si>
    <t>TR-5550-22766 + TR-5550-22771</t>
  </si>
  <si>
    <t>asdasd</t>
  </si>
  <si>
    <t>Datum</t>
  </si>
  <si>
    <t>Jahr</t>
  </si>
  <si>
    <t>Monat</t>
  </si>
  <si>
    <t>Kat A</t>
  </si>
  <si>
    <t>Kat B</t>
  </si>
  <si>
    <t>Kat C</t>
  </si>
  <si>
    <t>Gesamt</t>
  </si>
  <si>
    <t>Umsatz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</si>
  <si>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</si>
  <si>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</si>
  <si>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</si>
  <si>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</si>
  <si>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</si>
  <si>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</si>
  <si>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</si>
  <si>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</si>
  <si>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</si>
  <si>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</si>
  <si>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</si>
  <si>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</si>
  <si>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</si>
  <si>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2024-04-29</t>
  </si>
  <si>
    <t>2024-05-13</t>
  </si>
  <si>
    <t>2024-05-27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</si>
  <si>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</si>
  <si>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</si>
  <si>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</si>
  <si>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</si>
  <si>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</si>
  <si>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</si>
  <si>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</si>
  <si>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</si>
  <si>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</si>
  <si>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</si>
  <si>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</si>
  <si>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</si>
  <si>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</si>
  <si>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</si>
  <si>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</si>
  <si>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</si>
  <si>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</si>
  <si>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2024-11-18</t>
  </si>
  <si>
    <t>2025-01-13</t>
  </si>
  <si>
    <t>2025-01-20</t>
  </si>
  <si>
    <t>2025-03-31</t>
  </si>
  <si>
    <t>2025-04-07</t>
  </si>
  <si>
    <t>2025-04-28</t>
  </si>
  <si>
    <t>2025-05-05</t>
  </si>
  <si>
    <t>VK</t>
  </si>
  <si>
    <t>Aktuell</t>
  </si>
  <si>
    <t>Marge Prozent</t>
  </si>
  <si>
    <t>Voraussichtlich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</si>
</sst>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2" fontId="0" fillId="0" borderId="0" xfId="1" applyNumberFormat="1" applyFont="1"/>
    <xf numFmtId="14" fontId="0" fillId="0" borderId="0" xfId="0" applyNumberFormat="1"/>
    <xf numFmtId="9" fontId="0" fillId="0" borderId="0" xfId="2" applyFont="1"/>
  </cellXfs>
  <cellStyles count="3">
    <cellStyle name="Komma" xfId="1" builtinId="3"/>
    <cellStyle name="Prozent" xfId="2" builtinId="5"/>
    <cellStyle name="Standard" xfId="0" builtinId="0"/>
  </cellStyles>
  <dxfs count="3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24AFB-1903-4DA3-A4EC-AA7770BCFCED}" name="Wochendaten" displayName="Wochendaten" ref="A1:H63" totalsRowShown="0" headerRowDxfId="2">
  <autoFilter ref="A1:H63" xr:uid="{26E24AFB-1903-4DA3-A4EC-AA7770BCFCED}"/>
  <tableColumns count="8">
    <tableColumn id="9" xr3:uid="{B792FDCA-0F6C-437F-97EA-D6CE98A40012}" name="Datum"/>
    <tableColumn id="1" xr3:uid="{84308514-0D22-4E22-8F28-F549CBD64F2E}" name="Jahr" dataDxfId="1">
      <calculatedColumnFormula>YEAR(Wochendaten[[#This Row],[Datum]])</calculatedColumnFormula>
    </tableColumn>
    <tableColumn id="2" xr3:uid="{3E0EEE67-91D8-457B-A7F7-AAB924029604}" name="Monat" dataDxfId="0">
      <calculatedColumnFormula>MONTH(Wochendaten[[#This Row],[Datum]])</calculatedColumnFormula>
    </tableColumn>
    <tableColumn id="4" xr3:uid="{A5BBD7FD-EF6C-4BC2-A9A1-A40CD831640B}" name="Kat A"/>
    <tableColumn id="5" xr3:uid="{74F60A36-D949-42E7-9B5B-6232F3A36CB1}" name="Kat B"/>
    <tableColumn id="6" xr3:uid="{2DEE6CF3-786D-47BD-B32F-89BFA0B632D0}" name="Kat C"/>
    <tableColumn id="7" xr3:uid="{4A97BC6F-63F7-495E-90A0-BE2A23EEAC1C}" name="Gesamt">
      <calculatedColumnFormula>SUM(D2:F2)</calculatedColumnFormula>
    </tableColumn>
    <tableColumn id="8" xr3:uid="{B7C21BE3-B5B9-4939-81DA-ADACD64F2EFF}" name="Umsatz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C26E-7737-4682-A89D-34009A5B3F98}">
  <dimension ref="A1:V160"/>
  <sheetViews>
    <sheetView tabSelected="1" workbookViewId="0">
      <selection activeCell="I9" sqref="I9"/>
    </sheetView>
  </sheetViews>
  <sheetFormatPr baseColWidth="10" defaultRowHeight="15" x14ac:dyDescent="0.25"/>
  <cols>
    <col min="6" max="6" width="13.85546875" bestFit="1" customWidth="1"/>
    <col min="7" max="7" width="17.5703125" bestFit="1" customWidth="1"/>
    <col min="11" max="11" width="17.85546875" bestFit="1" customWidth="1"/>
    <col min="14" max="14" width="11.42578125" style="4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354</v>
      </c>
      <c r="I1" t="s">
        <v>395</v>
      </c>
      <c r="J1" t="s">
        <v>396</v>
      </c>
      <c r="K1" t="s">
        <v>398</v>
      </c>
      <c r="L1" t="s">
        <v>7</v>
      </c>
      <c r="M1" t="s">
        <v>8</v>
      </c>
      <c r="N1" s="4" t="s">
        <v>397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</row>
    <row r="2" spans="1:22" x14ac:dyDescent="0.25">
      <c r="A2" t="s">
        <v>17</v>
      </c>
      <c r="B2" t="s">
        <v>18</v>
      </c>
      <c r="C2" t="s">
        <v>19</v>
      </c>
      <c r="D2" t="s">
        <v>20</v>
      </c>
      <c r="E2">
        <v>0</v>
      </c>
      <c r="F2" t="s">
        <v>21</v>
      </c>
      <c r="G2" t="s">
        <v>22</v>
      </c>
      <c r="H2">
        <v>378613.33333333331</v>
      </c>
      <c r="I2">
        <v>246711.77000000002</v>
      </c>
      <c r="J2">
        <v>257035.65</v>
      </c>
      <c r="K2">
        <v>257127.65</v>
      </c>
      <c r="L2">
        <v>-10415.879999999976</v>
      </c>
      <c r="M2">
        <v>121485.68333333332</v>
      </c>
      <c r="N2" s="4">
        <v>0.32087006092407377</v>
      </c>
      <c r="O2">
        <v>0</v>
      </c>
      <c r="P2">
        <v>0</v>
      </c>
      <c r="Q2">
        <v>1219</v>
      </c>
      <c r="R2">
        <v>26.5</v>
      </c>
      <c r="S2">
        <v>-11471.983000000037</v>
      </c>
      <c r="T2">
        <v>-97.396999999938998</v>
      </c>
      <c r="U2" t="s">
        <v>23</v>
      </c>
    </row>
    <row r="3" spans="1:22" x14ac:dyDescent="0.25">
      <c r="A3" t="s">
        <v>24</v>
      </c>
      <c r="B3" t="s">
        <v>25</v>
      </c>
      <c r="C3" t="s">
        <v>26</v>
      </c>
      <c r="D3" t="s">
        <v>27</v>
      </c>
      <c r="E3">
        <v>45271</v>
      </c>
      <c r="F3" t="s">
        <v>28</v>
      </c>
      <c r="G3" t="s">
        <v>22</v>
      </c>
      <c r="H3">
        <v>147475</v>
      </c>
      <c r="I3">
        <v>122847</v>
      </c>
      <c r="J3">
        <v>79051.196599999996</v>
      </c>
      <c r="K3">
        <v>84046.5</v>
      </c>
      <c r="L3">
        <v>38800.5</v>
      </c>
      <c r="M3">
        <v>63428.5</v>
      </c>
      <c r="N3" s="4">
        <v>0.43009662654687236</v>
      </c>
      <c r="O3">
        <v>0</v>
      </c>
      <c r="P3">
        <v>0</v>
      </c>
      <c r="Q3">
        <v>1856.5</v>
      </c>
      <c r="R3">
        <v>-1139.75</v>
      </c>
      <c r="S3">
        <v>-11456.695100000001</v>
      </c>
      <c r="T3">
        <v>6971.7485000000015</v>
      </c>
      <c r="U3" t="s">
        <v>29</v>
      </c>
    </row>
    <row r="4" spans="1:22" x14ac:dyDescent="0.25">
      <c r="A4" t="s">
        <v>30</v>
      </c>
      <c r="B4" t="s">
        <v>31</v>
      </c>
      <c r="C4" t="s">
        <v>32</v>
      </c>
      <c r="D4" t="s">
        <v>33</v>
      </c>
      <c r="E4">
        <v>45349</v>
      </c>
      <c r="F4" t="s">
        <v>21</v>
      </c>
      <c r="G4" t="s">
        <v>22</v>
      </c>
      <c r="H4">
        <v>528626.66666666663</v>
      </c>
      <c r="I4">
        <v>324000</v>
      </c>
      <c r="J4">
        <v>243452.62</v>
      </c>
      <c r="K4">
        <v>352554.58659999998</v>
      </c>
      <c r="L4">
        <v>-28554.586599999981</v>
      </c>
      <c r="M4">
        <v>176072.08006666665</v>
      </c>
      <c r="N4" s="4">
        <v>0.33307453287764521</v>
      </c>
      <c r="O4">
        <v>0</v>
      </c>
      <c r="P4">
        <v>0</v>
      </c>
      <c r="Q4">
        <v>742.86999999999989</v>
      </c>
      <c r="R4">
        <v>-1700.5</v>
      </c>
      <c r="S4">
        <v>34931.022399999987</v>
      </c>
      <c r="T4">
        <v>1000</v>
      </c>
      <c r="U4" t="s">
        <v>34</v>
      </c>
    </row>
    <row r="5" spans="1:22" x14ac:dyDescent="0.25">
      <c r="A5" t="s">
        <v>35</v>
      </c>
      <c r="B5" t="s">
        <v>36</v>
      </c>
      <c r="C5" t="s">
        <v>37</v>
      </c>
      <c r="D5">
        <v>0</v>
      </c>
      <c r="E5">
        <v>0</v>
      </c>
      <c r="F5" t="s">
        <v>38</v>
      </c>
      <c r="G5" t="s">
        <v>22</v>
      </c>
      <c r="H5">
        <v>74900</v>
      </c>
      <c r="I5">
        <v>0</v>
      </c>
      <c r="J5">
        <v>0</v>
      </c>
      <c r="K5">
        <v>34700</v>
      </c>
      <c r="L5">
        <v>-34700</v>
      </c>
      <c r="M5">
        <v>40200</v>
      </c>
      <c r="N5" s="4">
        <v>0.53671562082777036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 t="s">
        <v>39</v>
      </c>
    </row>
    <row r="6" spans="1:22" x14ac:dyDescent="0.25">
      <c r="A6" t="s">
        <v>40</v>
      </c>
      <c r="B6" t="s">
        <v>31</v>
      </c>
      <c r="C6" t="s">
        <v>41</v>
      </c>
      <c r="D6" t="s">
        <v>42</v>
      </c>
      <c r="E6">
        <v>45869</v>
      </c>
      <c r="F6" t="s">
        <v>21</v>
      </c>
      <c r="G6" t="s">
        <v>22</v>
      </c>
      <c r="H6">
        <v>241425</v>
      </c>
      <c r="I6">
        <v>135390</v>
      </c>
      <c r="J6">
        <v>165604.14990000002</v>
      </c>
      <c r="K6">
        <v>168711.89580000003</v>
      </c>
      <c r="L6">
        <v>-33321.895800000028</v>
      </c>
      <c r="M6">
        <v>72713.104199999972</v>
      </c>
      <c r="N6" s="4">
        <v>0.30118299347623473</v>
      </c>
      <c r="O6">
        <v>1</v>
      </c>
      <c r="P6">
        <v>0</v>
      </c>
      <c r="Q6">
        <v>1640.8600000000001</v>
      </c>
      <c r="R6">
        <v>267.5</v>
      </c>
      <c r="S6">
        <v>-54788.577300000019</v>
      </c>
      <c r="T6">
        <v>22666.0674</v>
      </c>
      <c r="U6" t="s">
        <v>43</v>
      </c>
    </row>
    <row r="7" spans="1:22" x14ac:dyDescent="0.25">
      <c r="A7" t="s">
        <v>44</v>
      </c>
      <c r="B7" t="s">
        <v>45</v>
      </c>
      <c r="C7" t="s">
        <v>46</v>
      </c>
      <c r="D7" t="s">
        <v>47</v>
      </c>
      <c r="E7">
        <v>45499</v>
      </c>
      <c r="F7" t="s">
        <v>38</v>
      </c>
      <c r="G7" t="s">
        <v>48</v>
      </c>
      <c r="H7">
        <v>209507.390625</v>
      </c>
      <c r="I7">
        <v>98460.5</v>
      </c>
      <c r="J7">
        <v>104211.51850000002</v>
      </c>
      <c r="K7">
        <v>104211.51850000002</v>
      </c>
      <c r="L7">
        <v>-5751.0185000000201</v>
      </c>
      <c r="M7">
        <v>105295.87212499998</v>
      </c>
      <c r="N7" s="4">
        <v>0.50258786485232132</v>
      </c>
      <c r="O7">
        <v>0</v>
      </c>
      <c r="P7">
        <v>0</v>
      </c>
      <c r="Q7">
        <v>878.47999999999956</v>
      </c>
      <c r="R7">
        <v>5088</v>
      </c>
      <c r="S7">
        <v>-49804.489499999996</v>
      </c>
      <c r="T7">
        <v>38086.990999999973</v>
      </c>
      <c r="U7" t="s">
        <v>34</v>
      </c>
    </row>
    <row r="8" spans="1:22" x14ac:dyDescent="0.25">
      <c r="A8" t="s">
        <v>49</v>
      </c>
      <c r="B8" t="s">
        <v>50</v>
      </c>
      <c r="C8" t="s">
        <v>51</v>
      </c>
      <c r="D8" t="s">
        <v>52</v>
      </c>
      <c r="E8">
        <v>0</v>
      </c>
      <c r="F8" t="s">
        <v>21</v>
      </c>
      <c r="G8" t="s">
        <v>53</v>
      </c>
      <c r="H8">
        <v>22900</v>
      </c>
      <c r="I8">
        <v>16009.5</v>
      </c>
      <c r="J8">
        <v>14624.449100000002</v>
      </c>
      <c r="K8">
        <v>14624.449100000002</v>
      </c>
      <c r="L8">
        <v>1385.0508999999984</v>
      </c>
      <c r="M8">
        <v>8275.5508999999984</v>
      </c>
      <c r="N8" s="4">
        <v>0.36137776855895187</v>
      </c>
      <c r="O8">
        <v>0</v>
      </c>
      <c r="P8">
        <v>0</v>
      </c>
      <c r="Q8">
        <v>0</v>
      </c>
      <c r="R8">
        <v>-5395.4000000000015</v>
      </c>
      <c r="S8">
        <v>8023.0951000000005</v>
      </c>
      <c r="T8">
        <v>-1242.6442</v>
      </c>
      <c r="U8" t="s">
        <v>34</v>
      </c>
    </row>
    <row r="9" spans="1:22" x14ac:dyDescent="0.25">
      <c r="A9" t="s">
        <v>54</v>
      </c>
      <c r="B9" t="s">
        <v>55</v>
      </c>
      <c r="C9" t="s">
        <v>56</v>
      </c>
      <c r="D9" t="s">
        <v>57</v>
      </c>
      <c r="E9">
        <v>0</v>
      </c>
      <c r="F9" t="s">
        <v>21</v>
      </c>
      <c r="G9" t="s">
        <v>53</v>
      </c>
      <c r="H9">
        <v>315000</v>
      </c>
      <c r="I9">
        <v>211144.29</v>
      </c>
      <c r="J9">
        <v>180939.84320000003</v>
      </c>
      <c r="K9">
        <v>234029.99260000003</v>
      </c>
      <c r="L9">
        <v>-22885.702600000019</v>
      </c>
      <c r="M9">
        <v>80970.007399999973</v>
      </c>
      <c r="N9" s="4">
        <v>0.25704764253968243</v>
      </c>
      <c r="O9">
        <v>0</v>
      </c>
      <c r="P9">
        <v>0</v>
      </c>
      <c r="Q9">
        <v>-487.60000000000036</v>
      </c>
      <c r="R9">
        <v>-10123</v>
      </c>
      <c r="S9">
        <v>11198.969800000006</v>
      </c>
      <c r="T9">
        <v>30401.076999999976</v>
      </c>
      <c r="U9" t="s">
        <v>58</v>
      </c>
    </row>
    <row r="10" spans="1:22" x14ac:dyDescent="0.25">
      <c r="A10" t="s">
        <v>59</v>
      </c>
      <c r="B10" t="s">
        <v>60</v>
      </c>
      <c r="C10" t="s">
        <v>61</v>
      </c>
      <c r="D10" t="s">
        <v>62</v>
      </c>
      <c r="E10">
        <v>0</v>
      </c>
      <c r="F10" t="s">
        <v>38</v>
      </c>
      <c r="G10" t="s">
        <v>48</v>
      </c>
      <c r="H10">
        <v>29834.672727272726</v>
      </c>
      <c r="I10">
        <v>16854.580000000002</v>
      </c>
      <c r="J10">
        <v>10383.065399999999</v>
      </c>
      <c r="K10">
        <v>14950.159899999999</v>
      </c>
      <c r="L10">
        <v>1904.420100000003</v>
      </c>
      <c r="M10">
        <v>14884.512827272727</v>
      </c>
      <c r="N10" s="4">
        <v>0.49889981912442327</v>
      </c>
      <c r="O10">
        <v>0</v>
      </c>
      <c r="P10">
        <v>0</v>
      </c>
      <c r="Q10">
        <v>-1042.1999999999989</v>
      </c>
      <c r="R10">
        <v>-2293</v>
      </c>
      <c r="S10">
        <v>2070.6040000000003</v>
      </c>
      <c r="T10">
        <v>7736.1106</v>
      </c>
      <c r="U10" t="s">
        <v>34</v>
      </c>
    </row>
    <row r="11" spans="1:22" x14ac:dyDescent="0.25">
      <c r="A11" t="s">
        <v>63</v>
      </c>
      <c r="B11" t="s">
        <v>55</v>
      </c>
      <c r="C11" t="s">
        <v>64</v>
      </c>
      <c r="D11" t="s">
        <v>65</v>
      </c>
      <c r="E11">
        <v>45965</v>
      </c>
      <c r="F11" t="s">
        <v>66</v>
      </c>
      <c r="G11" t="s">
        <v>48</v>
      </c>
      <c r="H11">
        <v>32671.150390625</v>
      </c>
      <c r="I11">
        <v>21349.690000000002</v>
      </c>
      <c r="J11">
        <v>7609.5429999999997</v>
      </c>
      <c r="K11">
        <v>11586.278899999999</v>
      </c>
      <c r="L11">
        <v>9763.411100000003</v>
      </c>
      <c r="M11">
        <v>21084.871490625002</v>
      </c>
      <c r="N11" s="4">
        <v>0.64536666871318116</v>
      </c>
      <c r="O11">
        <v>0</v>
      </c>
      <c r="P11">
        <v>0</v>
      </c>
      <c r="Q11">
        <v>404.92000000000007</v>
      </c>
      <c r="R11">
        <v>477</v>
      </c>
      <c r="S11">
        <v>2697.404</v>
      </c>
      <c r="T11">
        <v>10249.363000000001</v>
      </c>
      <c r="U11" t="s">
        <v>58</v>
      </c>
    </row>
    <row r="12" spans="1:22" x14ac:dyDescent="0.25">
      <c r="A12" t="s">
        <v>67</v>
      </c>
      <c r="B12" t="s">
        <v>68</v>
      </c>
      <c r="C12" t="s">
        <v>69</v>
      </c>
      <c r="D12" t="s">
        <v>70</v>
      </c>
      <c r="E12">
        <v>45918</v>
      </c>
      <c r="F12" t="s">
        <v>28</v>
      </c>
      <c r="G12" t="s">
        <v>53</v>
      </c>
      <c r="H12">
        <v>667250</v>
      </c>
      <c r="I12">
        <v>486778.01</v>
      </c>
      <c r="J12">
        <v>434015.23030000005</v>
      </c>
      <c r="K12">
        <v>434015.23030000005</v>
      </c>
      <c r="L12">
        <v>52762.779699999955</v>
      </c>
      <c r="M12">
        <v>233234.76969999995</v>
      </c>
      <c r="N12" s="4">
        <v>0.34954630153615579</v>
      </c>
      <c r="O12">
        <v>0</v>
      </c>
      <c r="P12">
        <v>0</v>
      </c>
      <c r="Q12">
        <v>-2131.66</v>
      </c>
      <c r="R12">
        <v>-1788.75</v>
      </c>
      <c r="S12">
        <v>-30529.011199999979</v>
      </c>
      <c r="T12">
        <v>87212.20089999988</v>
      </c>
      <c r="U12" t="s">
        <v>43</v>
      </c>
    </row>
    <row r="13" spans="1:22" x14ac:dyDescent="0.25">
      <c r="A13" t="s">
        <v>71</v>
      </c>
      <c r="B13" t="s">
        <v>72</v>
      </c>
      <c r="C13" t="s">
        <v>73</v>
      </c>
      <c r="D13">
        <v>0</v>
      </c>
      <c r="E13">
        <v>0</v>
      </c>
      <c r="F13" t="s">
        <v>66</v>
      </c>
      <c r="G13" t="s">
        <v>48</v>
      </c>
      <c r="H13">
        <v>35000</v>
      </c>
      <c r="I13">
        <v>18266.669999999998</v>
      </c>
      <c r="J13">
        <v>17919.586899999998</v>
      </c>
      <c r="K13">
        <v>17921.612099999998</v>
      </c>
      <c r="L13">
        <v>345.05789999999979</v>
      </c>
      <c r="M13">
        <v>17078.387900000002</v>
      </c>
      <c r="N13" s="4">
        <v>0.48795394000000003</v>
      </c>
      <c r="O13">
        <v>0</v>
      </c>
      <c r="P13">
        <v>0</v>
      </c>
      <c r="Q13">
        <v>-272.41999999999996</v>
      </c>
      <c r="R13">
        <v>-265</v>
      </c>
      <c r="S13">
        <v>-1570.7066000000004</v>
      </c>
      <c r="T13">
        <v>2455.2097000000012</v>
      </c>
      <c r="U13" t="s">
        <v>34</v>
      </c>
    </row>
    <row r="14" spans="1:22" x14ac:dyDescent="0.25">
      <c r="A14" t="s">
        <v>74</v>
      </c>
      <c r="B14" t="s">
        <v>45</v>
      </c>
      <c r="C14" t="s">
        <v>75</v>
      </c>
      <c r="D14" t="s">
        <v>76</v>
      </c>
      <c r="E14">
        <v>45639</v>
      </c>
      <c r="F14" t="s">
        <v>38</v>
      </c>
      <c r="G14" t="s">
        <v>48</v>
      </c>
      <c r="H14">
        <v>28750</v>
      </c>
      <c r="I14">
        <v>10295</v>
      </c>
      <c r="J14">
        <v>7378.7602999999999</v>
      </c>
      <c r="K14">
        <v>7378.7602999999999</v>
      </c>
      <c r="L14">
        <v>2916.2397000000001</v>
      </c>
      <c r="M14">
        <v>21371.239699999998</v>
      </c>
      <c r="N14" s="4">
        <v>0.74334746782608685</v>
      </c>
      <c r="O14">
        <v>0</v>
      </c>
      <c r="P14">
        <v>0</v>
      </c>
      <c r="Q14">
        <v>-448.90999999999985</v>
      </c>
      <c r="R14">
        <v>0</v>
      </c>
      <c r="S14">
        <v>2136.8422999999993</v>
      </c>
      <c r="T14">
        <v>1228.3074000000011</v>
      </c>
      <c r="U14" t="s">
        <v>34</v>
      </c>
    </row>
    <row r="15" spans="1:22" x14ac:dyDescent="0.25">
      <c r="A15" t="s">
        <v>77</v>
      </c>
      <c r="B15" t="s">
        <v>78</v>
      </c>
      <c r="C15" t="s">
        <v>79</v>
      </c>
      <c r="D15" t="s">
        <v>80</v>
      </c>
      <c r="E15">
        <v>45909</v>
      </c>
      <c r="F15" t="s">
        <v>38</v>
      </c>
      <c r="G15" t="s">
        <v>53</v>
      </c>
      <c r="H15">
        <v>809000</v>
      </c>
      <c r="I15">
        <v>581700.42000000004</v>
      </c>
      <c r="J15">
        <v>670095.28749999998</v>
      </c>
      <c r="K15">
        <v>670773.72369999997</v>
      </c>
      <c r="L15">
        <v>-89073.303699999931</v>
      </c>
      <c r="M15">
        <v>138226.27630000003</v>
      </c>
      <c r="N15" s="4">
        <v>0.17086066291718174</v>
      </c>
      <c r="O15">
        <v>0</v>
      </c>
      <c r="P15">
        <v>0</v>
      </c>
      <c r="Q15">
        <v>1594.090000000002</v>
      </c>
      <c r="R15">
        <v>-1476.0500000000029</v>
      </c>
      <c r="S15">
        <v>-147884.0241000001</v>
      </c>
      <c r="T15">
        <v>58993.196600000141</v>
      </c>
      <c r="U15" t="s">
        <v>58</v>
      </c>
    </row>
    <row r="16" spans="1:22" x14ac:dyDescent="0.25">
      <c r="A16" t="s">
        <v>81</v>
      </c>
      <c r="B16" t="s">
        <v>82</v>
      </c>
      <c r="C16" t="s">
        <v>83</v>
      </c>
      <c r="D16">
        <v>0</v>
      </c>
      <c r="E16">
        <v>0</v>
      </c>
      <c r="F16" t="s">
        <v>84</v>
      </c>
      <c r="G16" t="s">
        <v>53</v>
      </c>
      <c r="H16">
        <v>420125</v>
      </c>
      <c r="I16">
        <v>294000</v>
      </c>
      <c r="J16">
        <v>1</v>
      </c>
      <c r="K16">
        <v>294001</v>
      </c>
      <c r="L16">
        <v>-1</v>
      </c>
      <c r="M16">
        <v>126124</v>
      </c>
      <c r="N16" s="4">
        <v>0.30020589110383816</v>
      </c>
      <c r="O16">
        <v>0</v>
      </c>
      <c r="P16">
        <v>0</v>
      </c>
      <c r="Q16">
        <v>0</v>
      </c>
      <c r="R16">
        <v>0</v>
      </c>
      <c r="S16">
        <v>0</v>
      </c>
      <c r="T16">
        <v>294000</v>
      </c>
      <c r="U16" t="s">
        <v>34</v>
      </c>
    </row>
    <row r="17" spans="1:21" x14ac:dyDescent="0.25">
      <c r="A17" t="s">
        <v>85</v>
      </c>
      <c r="B17" t="s">
        <v>86</v>
      </c>
      <c r="C17" t="s">
        <v>87</v>
      </c>
      <c r="D17" t="s">
        <v>88</v>
      </c>
      <c r="E17">
        <v>45547</v>
      </c>
      <c r="F17" t="s">
        <v>38</v>
      </c>
      <c r="G17" t="s">
        <v>48</v>
      </c>
      <c r="H17">
        <v>414451.89</v>
      </c>
      <c r="I17">
        <v>238230</v>
      </c>
      <c r="J17">
        <v>175552.46189999999</v>
      </c>
      <c r="K17">
        <v>175552.46189999999</v>
      </c>
      <c r="L17">
        <v>62677.538100000005</v>
      </c>
      <c r="M17">
        <v>238899.42810000002</v>
      </c>
      <c r="N17" s="4">
        <v>0.57642258091765486</v>
      </c>
      <c r="O17">
        <v>0</v>
      </c>
      <c r="P17">
        <v>0</v>
      </c>
      <c r="Q17">
        <v>1818.4300000000003</v>
      </c>
      <c r="R17">
        <v>265</v>
      </c>
      <c r="S17">
        <v>-74952.559600000008</v>
      </c>
      <c r="T17">
        <v>135546.66770000002</v>
      </c>
      <c r="U17" t="s">
        <v>34</v>
      </c>
    </row>
    <row r="18" spans="1:21" x14ac:dyDescent="0.25">
      <c r="A18" t="s">
        <v>89</v>
      </c>
      <c r="B18" t="s">
        <v>90</v>
      </c>
      <c r="C18" t="s">
        <v>91</v>
      </c>
      <c r="D18" t="s">
        <v>92</v>
      </c>
      <c r="E18">
        <v>45915</v>
      </c>
      <c r="F18" t="s">
        <v>93</v>
      </c>
      <c r="G18" t="s">
        <v>22</v>
      </c>
      <c r="H18">
        <v>27274.5</v>
      </c>
      <c r="I18">
        <v>13915.28</v>
      </c>
      <c r="J18">
        <v>5136.6453000000001</v>
      </c>
      <c r="K18">
        <v>11020.631299999999</v>
      </c>
      <c r="L18">
        <v>2894.6487000000016</v>
      </c>
      <c r="M18">
        <v>16253.868700000001</v>
      </c>
      <c r="N18" s="4">
        <v>0.59593644979742988</v>
      </c>
      <c r="O18">
        <v>0</v>
      </c>
      <c r="P18">
        <v>0</v>
      </c>
      <c r="Q18">
        <v>250</v>
      </c>
      <c r="R18">
        <v>-735.75</v>
      </c>
      <c r="S18">
        <v>880.38569999999982</v>
      </c>
      <c r="T18">
        <v>8383.9989999999998</v>
      </c>
      <c r="U18" t="s">
        <v>34</v>
      </c>
    </row>
    <row r="19" spans="1:21" x14ac:dyDescent="0.25">
      <c r="A19" t="s">
        <v>94</v>
      </c>
      <c r="B19" t="s">
        <v>68</v>
      </c>
      <c r="C19" t="s">
        <v>95</v>
      </c>
      <c r="D19" t="s">
        <v>96</v>
      </c>
      <c r="E19">
        <v>45986</v>
      </c>
      <c r="F19" t="s">
        <v>97</v>
      </c>
      <c r="G19" t="s">
        <v>53</v>
      </c>
      <c r="H19">
        <v>550250</v>
      </c>
      <c r="I19">
        <v>379877.85</v>
      </c>
      <c r="J19">
        <v>332860.48949999991</v>
      </c>
      <c r="K19">
        <v>353909.2638999999</v>
      </c>
      <c r="L19">
        <v>25968.586100000073</v>
      </c>
      <c r="M19">
        <v>196340.7361000001</v>
      </c>
      <c r="N19" s="4">
        <v>0.35682096519763762</v>
      </c>
      <c r="O19">
        <v>0</v>
      </c>
      <c r="P19">
        <v>0</v>
      </c>
      <c r="Q19">
        <v>0</v>
      </c>
      <c r="R19">
        <v>-834.75</v>
      </c>
      <c r="S19">
        <v>-31959.075300000026</v>
      </c>
      <c r="T19">
        <v>1000</v>
      </c>
      <c r="U19" t="s">
        <v>34</v>
      </c>
    </row>
    <row r="20" spans="1:21" x14ac:dyDescent="0.25">
      <c r="A20" t="s">
        <v>98</v>
      </c>
      <c r="B20" t="s">
        <v>31</v>
      </c>
      <c r="C20" t="s">
        <v>99</v>
      </c>
      <c r="D20" t="s">
        <v>100</v>
      </c>
      <c r="E20">
        <v>46022</v>
      </c>
      <c r="F20" t="s">
        <v>21</v>
      </c>
      <c r="G20" t="s">
        <v>22</v>
      </c>
      <c r="H20">
        <v>192000</v>
      </c>
      <c r="I20">
        <v>124771</v>
      </c>
      <c r="J20">
        <v>81491.710100000011</v>
      </c>
      <c r="K20">
        <v>124988.327</v>
      </c>
      <c r="L20">
        <v>-217.32700000000477</v>
      </c>
      <c r="M20">
        <v>67011.672999999995</v>
      </c>
      <c r="N20" s="4">
        <v>0.34901913020833331</v>
      </c>
      <c r="O20">
        <v>0</v>
      </c>
      <c r="P20">
        <v>0</v>
      </c>
      <c r="Q20">
        <v>862.0300000000002</v>
      </c>
      <c r="R20">
        <v>-168</v>
      </c>
      <c r="S20">
        <v>-7060.9737000000023</v>
      </c>
      <c r="T20">
        <v>49646.233599999992</v>
      </c>
      <c r="U20" t="s">
        <v>34</v>
      </c>
    </row>
    <row r="21" spans="1:21" x14ac:dyDescent="0.25">
      <c r="A21" t="s">
        <v>101</v>
      </c>
      <c r="B21" t="s">
        <v>102</v>
      </c>
      <c r="C21" t="s">
        <v>103</v>
      </c>
      <c r="D21" t="s">
        <v>104</v>
      </c>
      <c r="E21">
        <v>46003</v>
      </c>
      <c r="F21" t="s">
        <v>84</v>
      </c>
      <c r="G21" t="s">
        <v>22</v>
      </c>
      <c r="H21">
        <v>33450</v>
      </c>
      <c r="I21">
        <v>21063</v>
      </c>
      <c r="J21">
        <v>12888.337000000001</v>
      </c>
      <c r="K21">
        <v>17108.437000000002</v>
      </c>
      <c r="L21">
        <v>3954.5629999999983</v>
      </c>
      <c r="M21">
        <v>16341.562999999998</v>
      </c>
      <c r="N21" s="4">
        <v>0.48853701046337811</v>
      </c>
      <c r="O21">
        <v>0</v>
      </c>
      <c r="P21">
        <v>0</v>
      </c>
      <c r="Q21">
        <v>185.5</v>
      </c>
      <c r="R21">
        <v>265</v>
      </c>
      <c r="S21">
        <v>6894.9173999999994</v>
      </c>
      <c r="T21">
        <v>829.24559999999929</v>
      </c>
      <c r="U21" t="s">
        <v>34</v>
      </c>
    </row>
    <row r="22" spans="1:21" x14ac:dyDescent="0.25">
      <c r="A22" t="s">
        <v>105</v>
      </c>
      <c r="B22" t="s">
        <v>106</v>
      </c>
      <c r="C22" t="s">
        <v>107</v>
      </c>
      <c r="D22" t="s">
        <v>108</v>
      </c>
      <c r="E22">
        <v>45615</v>
      </c>
      <c r="F22" t="s">
        <v>28</v>
      </c>
      <c r="G22" t="s">
        <v>48</v>
      </c>
      <c r="H22">
        <v>209250</v>
      </c>
      <c r="I22">
        <v>149613.89000000001</v>
      </c>
      <c r="J22">
        <v>139035.59199999998</v>
      </c>
      <c r="K22">
        <v>140395.16959999996</v>
      </c>
      <c r="L22">
        <v>9218.7204000000493</v>
      </c>
      <c r="M22">
        <v>68854.830400000035</v>
      </c>
      <c r="N22" s="4">
        <v>0.3290553424133813</v>
      </c>
      <c r="O22">
        <v>0</v>
      </c>
      <c r="P22">
        <v>0</v>
      </c>
      <c r="Q22">
        <v>94</v>
      </c>
      <c r="R22">
        <v>0</v>
      </c>
      <c r="S22">
        <v>1639.1754999999994</v>
      </c>
      <c r="T22">
        <v>38682.182500000024</v>
      </c>
      <c r="U22" t="s">
        <v>43</v>
      </c>
    </row>
    <row r="23" spans="1:21" x14ac:dyDescent="0.25">
      <c r="A23" t="s">
        <v>109</v>
      </c>
      <c r="B23" t="s">
        <v>110</v>
      </c>
      <c r="C23" t="s">
        <v>111</v>
      </c>
      <c r="D23" t="s">
        <v>112</v>
      </c>
      <c r="E23">
        <v>45987</v>
      </c>
      <c r="F23" t="s">
        <v>84</v>
      </c>
      <c r="G23" t="s">
        <v>22</v>
      </c>
      <c r="H23">
        <v>168800</v>
      </c>
      <c r="I23">
        <v>92755.74</v>
      </c>
      <c r="J23">
        <v>109673.75829999999</v>
      </c>
      <c r="K23">
        <v>112357.09079999999</v>
      </c>
      <c r="L23">
        <v>-19601.350799999986</v>
      </c>
      <c r="M23">
        <v>56442.909200000009</v>
      </c>
      <c r="N23" s="4">
        <v>0.33437742417061617</v>
      </c>
      <c r="O23">
        <v>1</v>
      </c>
      <c r="P23">
        <v>0</v>
      </c>
      <c r="Q23">
        <v>-121.89999999999964</v>
      </c>
      <c r="R23">
        <v>-2252.5</v>
      </c>
      <c r="S23">
        <v>-7464.2088000000003</v>
      </c>
      <c r="T23">
        <v>-1439.4094999999943</v>
      </c>
      <c r="U23" t="s">
        <v>34</v>
      </c>
    </row>
    <row r="24" spans="1:21" x14ac:dyDescent="0.25">
      <c r="A24" t="s">
        <v>113</v>
      </c>
      <c r="B24" t="s">
        <v>114</v>
      </c>
      <c r="C24" t="s">
        <v>115</v>
      </c>
      <c r="D24">
        <v>0</v>
      </c>
      <c r="E24">
        <v>0</v>
      </c>
      <c r="F24" t="s">
        <v>116</v>
      </c>
      <c r="G24" t="s">
        <v>22</v>
      </c>
      <c r="H24">
        <v>43345</v>
      </c>
      <c r="I24">
        <v>26826</v>
      </c>
      <c r="J24">
        <v>1</v>
      </c>
      <c r="K24">
        <v>26827</v>
      </c>
      <c r="L24">
        <v>-1</v>
      </c>
      <c r="M24">
        <v>16518</v>
      </c>
      <c r="N24" s="4">
        <v>0.38108201638020534</v>
      </c>
      <c r="O24">
        <v>0</v>
      </c>
      <c r="P24">
        <v>0</v>
      </c>
      <c r="Q24">
        <v>0</v>
      </c>
      <c r="R24">
        <v>0</v>
      </c>
      <c r="S24">
        <v>0</v>
      </c>
      <c r="T24">
        <v>26826</v>
      </c>
      <c r="U24" t="s">
        <v>34</v>
      </c>
    </row>
    <row r="25" spans="1:21" x14ac:dyDescent="0.25">
      <c r="A25" t="s">
        <v>117</v>
      </c>
      <c r="B25" t="s">
        <v>90</v>
      </c>
      <c r="C25" t="s">
        <v>118</v>
      </c>
      <c r="D25" t="s">
        <v>119</v>
      </c>
      <c r="E25">
        <v>45887</v>
      </c>
      <c r="F25" t="s">
        <v>38</v>
      </c>
      <c r="G25" t="s">
        <v>22</v>
      </c>
      <c r="H25">
        <v>104185.03</v>
      </c>
      <c r="I25">
        <v>68669.679999999993</v>
      </c>
      <c r="J25">
        <v>66575.158599999995</v>
      </c>
      <c r="K25">
        <v>66575.158599999995</v>
      </c>
      <c r="L25">
        <v>2094.5213999999978</v>
      </c>
      <c r="M25">
        <v>37609.871400000004</v>
      </c>
      <c r="N25" s="4">
        <v>0.36099112703619707</v>
      </c>
      <c r="O25">
        <v>0</v>
      </c>
      <c r="P25">
        <v>0</v>
      </c>
      <c r="Q25">
        <v>1495.6599999999999</v>
      </c>
      <c r="R25">
        <v>-821.5</v>
      </c>
      <c r="S25">
        <v>-10265.145199999999</v>
      </c>
      <c r="T25">
        <v>11685.506600000008</v>
      </c>
      <c r="U25" t="s">
        <v>34</v>
      </c>
    </row>
    <row r="26" spans="1:21" x14ac:dyDescent="0.25">
      <c r="A26" t="s">
        <v>120</v>
      </c>
      <c r="B26" t="s">
        <v>121</v>
      </c>
      <c r="C26" t="s">
        <v>122</v>
      </c>
      <c r="D26">
        <v>0</v>
      </c>
      <c r="E26">
        <v>0</v>
      </c>
      <c r="F26" t="s">
        <v>21</v>
      </c>
      <c r="G26" t="s">
        <v>22</v>
      </c>
      <c r="H26">
        <v>79740</v>
      </c>
      <c r="I26">
        <v>40935.61</v>
      </c>
      <c r="J26">
        <v>13712.9241</v>
      </c>
      <c r="K26">
        <v>42087.865100000003</v>
      </c>
      <c r="L26">
        <v>-1152.2551000000021</v>
      </c>
      <c r="M26">
        <v>37652.134899999997</v>
      </c>
      <c r="N26" s="4">
        <v>0.47218629169801851</v>
      </c>
      <c r="O26">
        <v>0</v>
      </c>
      <c r="P26">
        <v>0</v>
      </c>
      <c r="Q26">
        <v>742</v>
      </c>
      <c r="R26">
        <v>13.25</v>
      </c>
      <c r="S26">
        <v>3506.0097000000001</v>
      </c>
      <c r="T26">
        <v>33269.426200000002</v>
      </c>
      <c r="U26" t="s">
        <v>123</v>
      </c>
    </row>
    <row r="27" spans="1:21" x14ac:dyDescent="0.25">
      <c r="A27" t="s">
        <v>124</v>
      </c>
      <c r="B27" t="s">
        <v>125</v>
      </c>
      <c r="C27" t="s">
        <v>126</v>
      </c>
      <c r="D27">
        <v>0</v>
      </c>
      <c r="E27">
        <v>0</v>
      </c>
      <c r="F27" t="s">
        <v>93</v>
      </c>
      <c r="G27" t="s">
        <v>48</v>
      </c>
      <c r="H27">
        <v>12943</v>
      </c>
      <c r="I27">
        <v>7500</v>
      </c>
      <c r="J27">
        <v>1</v>
      </c>
      <c r="K27">
        <v>7501</v>
      </c>
      <c r="L27">
        <v>-1</v>
      </c>
      <c r="M27">
        <v>5442</v>
      </c>
      <c r="N27" s="4">
        <v>0.42045893533183959</v>
      </c>
      <c r="O27">
        <v>0</v>
      </c>
      <c r="P27">
        <v>0</v>
      </c>
      <c r="Q27">
        <v>0</v>
      </c>
      <c r="R27">
        <v>0</v>
      </c>
      <c r="S27">
        <v>0</v>
      </c>
      <c r="T27">
        <v>7500</v>
      </c>
      <c r="U27" t="s">
        <v>123</v>
      </c>
    </row>
    <row r="28" spans="1:21" x14ac:dyDescent="0.25">
      <c r="A28" t="s">
        <v>127</v>
      </c>
      <c r="B28" t="s">
        <v>128</v>
      </c>
      <c r="C28" t="s">
        <v>129</v>
      </c>
      <c r="D28" t="s">
        <v>130</v>
      </c>
      <c r="E28">
        <v>45947</v>
      </c>
      <c r="F28" t="s">
        <v>97</v>
      </c>
      <c r="G28" t="s">
        <v>48</v>
      </c>
      <c r="H28">
        <v>20750</v>
      </c>
      <c r="I28">
        <v>13420.64</v>
      </c>
      <c r="J28">
        <v>10381.7688</v>
      </c>
      <c r="K28">
        <v>13718.044699999999</v>
      </c>
      <c r="L28">
        <v>-297.40469999999914</v>
      </c>
      <c r="M28">
        <v>7031.9553000000014</v>
      </c>
      <c r="N28" s="4">
        <v>0.33888941204819284</v>
      </c>
      <c r="O28">
        <v>0</v>
      </c>
      <c r="P28">
        <v>0</v>
      </c>
      <c r="Q28">
        <v>39.75</v>
      </c>
      <c r="R28">
        <v>-265</v>
      </c>
      <c r="S28">
        <v>-1321.2649999999994</v>
      </c>
      <c r="T28">
        <v>4585.3862000000008</v>
      </c>
      <c r="U28" t="s">
        <v>34</v>
      </c>
    </row>
    <row r="29" spans="1:21" x14ac:dyDescent="0.25">
      <c r="A29" t="s">
        <v>131</v>
      </c>
      <c r="B29" t="s">
        <v>132</v>
      </c>
      <c r="C29" t="s">
        <v>133</v>
      </c>
      <c r="D29" t="s">
        <v>134</v>
      </c>
      <c r="E29">
        <v>45981</v>
      </c>
      <c r="F29" t="s">
        <v>84</v>
      </c>
      <c r="G29" t="s">
        <v>53</v>
      </c>
      <c r="H29">
        <v>194161.59999999998</v>
      </c>
      <c r="I29">
        <v>119102</v>
      </c>
      <c r="J29">
        <v>94419.74</v>
      </c>
      <c r="K29">
        <v>95026.066500000001</v>
      </c>
      <c r="L29">
        <v>24075.933499999999</v>
      </c>
      <c r="M29">
        <v>99135.533499999976</v>
      </c>
      <c r="N29" s="4">
        <v>0.51058259460161015</v>
      </c>
      <c r="O29">
        <v>0</v>
      </c>
      <c r="P29">
        <v>0</v>
      </c>
      <c r="Q29">
        <v>10361.5</v>
      </c>
      <c r="R29">
        <v>13563.76</v>
      </c>
      <c r="S29">
        <v>1834</v>
      </c>
      <c r="T29">
        <v>85638</v>
      </c>
      <c r="U29" t="s">
        <v>123</v>
      </c>
    </row>
    <row r="30" spans="1:21" x14ac:dyDescent="0.25">
      <c r="A30" t="s">
        <v>135</v>
      </c>
      <c r="B30" t="s">
        <v>136</v>
      </c>
      <c r="C30" t="s">
        <v>137</v>
      </c>
      <c r="D30" t="s">
        <v>138</v>
      </c>
      <c r="E30">
        <v>0</v>
      </c>
      <c r="F30" t="s">
        <v>97</v>
      </c>
      <c r="G30" t="s">
        <v>48</v>
      </c>
      <c r="H30">
        <v>22170</v>
      </c>
      <c r="I30">
        <v>13693.74</v>
      </c>
      <c r="J30">
        <v>4255.8600000000006</v>
      </c>
      <c r="K30">
        <v>13905.86</v>
      </c>
      <c r="L30">
        <v>-212.1200000000008</v>
      </c>
      <c r="M30">
        <v>8264.14</v>
      </c>
      <c r="N30" s="4">
        <v>0.37276229138475414</v>
      </c>
      <c r="O30">
        <v>0</v>
      </c>
      <c r="P30">
        <v>0</v>
      </c>
      <c r="Q30">
        <v>556.5</v>
      </c>
      <c r="R30">
        <v>159</v>
      </c>
      <c r="S30">
        <v>2701.5</v>
      </c>
      <c r="T30">
        <v>8872.24</v>
      </c>
      <c r="U30" t="s">
        <v>34</v>
      </c>
    </row>
    <row r="31" spans="1:21" x14ac:dyDescent="0.25">
      <c r="A31" t="s">
        <v>139</v>
      </c>
      <c r="B31" t="s">
        <v>31</v>
      </c>
      <c r="C31" t="s">
        <v>41</v>
      </c>
      <c r="D31" t="s">
        <v>42</v>
      </c>
      <c r="E31">
        <v>46112</v>
      </c>
      <c r="F31" t="s">
        <v>21</v>
      </c>
      <c r="G31" t="s">
        <v>22</v>
      </c>
      <c r="H31">
        <v>242275</v>
      </c>
      <c r="I31">
        <v>135390</v>
      </c>
      <c r="J31">
        <v>75206.887199999954</v>
      </c>
      <c r="K31">
        <v>136166.01709999997</v>
      </c>
      <c r="L31">
        <v>-776.0170999999682</v>
      </c>
      <c r="M31">
        <v>106108.98290000003</v>
      </c>
      <c r="N31" s="4">
        <v>0.43796917923846879</v>
      </c>
      <c r="O31">
        <v>0</v>
      </c>
      <c r="P31">
        <v>0</v>
      </c>
      <c r="Q31">
        <v>2626.13</v>
      </c>
      <c r="R31">
        <v>400</v>
      </c>
      <c r="S31">
        <v>30803.539000000004</v>
      </c>
      <c r="T31">
        <v>26353.443800000037</v>
      </c>
      <c r="U31" t="s">
        <v>34</v>
      </c>
    </row>
    <row r="32" spans="1:21" x14ac:dyDescent="0.25">
      <c r="A32" t="s">
        <v>140</v>
      </c>
      <c r="B32" t="s">
        <v>141</v>
      </c>
      <c r="C32" t="s">
        <v>142</v>
      </c>
      <c r="D32" t="s">
        <v>143</v>
      </c>
      <c r="E32">
        <v>46045</v>
      </c>
      <c r="F32" t="s">
        <v>84</v>
      </c>
      <c r="G32" t="s">
        <v>22</v>
      </c>
      <c r="H32">
        <v>27225</v>
      </c>
      <c r="I32">
        <v>18313.25</v>
      </c>
      <c r="J32">
        <v>17744.900000000001</v>
      </c>
      <c r="K32">
        <v>17744.900000000001</v>
      </c>
      <c r="L32">
        <v>568.34999999999854</v>
      </c>
      <c r="M32">
        <v>9480.0999999999985</v>
      </c>
      <c r="N32" s="4">
        <v>0.34821303948576671</v>
      </c>
      <c r="O32">
        <v>0</v>
      </c>
      <c r="P32">
        <v>0</v>
      </c>
      <c r="Q32">
        <v>673.1</v>
      </c>
      <c r="R32">
        <v>-106</v>
      </c>
      <c r="S32">
        <v>6625.5</v>
      </c>
      <c r="T32">
        <v>9567.75</v>
      </c>
      <c r="U32" t="s">
        <v>34</v>
      </c>
    </row>
    <row r="33" spans="1:21" x14ac:dyDescent="0.25">
      <c r="A33" t="s">
        <v>144</v>
      </c>
      <c r="B33" t="s">
        <v>145</v>
      </c>
      <c r="C33" t="s">
        <v>146</v>
      </c>
      <c r="D33">
        <v>0</v>
      </c>
      <c r="E33">
        <v>0</v>
      </c>
      <c r="F33" t="s">
        <v>21</v>
      </c>
      <c r="G33" t="s">
        <v>53</v>
      </c>
      <c r="H33">
        <v>418500</v>
      </c>
      <c r="I33">
        <v>227716.78</v>
      </c>
      <c r="J33">
        <v>30064.91</v>
      </c>
      <c r="K33">
        <v>225062.45360000001</v>
      </c>
      <c r="L33">
        <v>2654.3263999999908</v>
      </c>
      <c r="M33">
        <v>193437.54639999999</v>
      </c>
      <c r="N33" s="4">
        <v>0.46221635937873357</v>
      </c>
      <c r="O33">
        <v>0</v>
      </c>
      <c r="P33">
        <v>0</v>
      </c>
      <c r="Q33">
        <v>5866.0400000000009</v>
      </c>
      <c r="R33">
        <v>34186.589999999997</v>
      </c>
      <c r="S33">
        <v>25066</v>
      </c>
      <c r="T33">
        <v>134706.66</v>
      </c>
      <c r="U33" t="s">
        <v>34</v>
      </c>
    </row>
    <row r="34" spans="1:21" x14ac:dyDescent="0.25">
      <c r="A34" t="s">
        <v>147</v>
      </c>
      <c r="B34" t="s">
        <v>148</v>
      </c>
      <c r="C34" t="s">
        <v>149</v>
      </c>
      <c r="D34" t="s">
        <v>150</v>
      </c>
      <c r="E34">
        <v>45880</v>
      </c>
      <c r="F34" t="s">
        <v>38</v>
      </c>
      <c r="G34" t="s">
        <v>48</v>
      </c>
      <c r="H34">
        <v>21361.66015625</v>
      </c>
      <c r="I34">
        <v>12000</v>
      </c>
      <c r="J34">
        <v>0</v>
      </c>
      <c r="K34">
        <v>12000</v>
      </c>
      <c r="L34">
        <v>0</v>
      </c>
      <c r="M34">
        <v>9361.66015625</v>
      </c>
      <c r="N34" s="4">
        <v>0.43824590821940229</v>
      </c>
      <c r="O34">
        <v>0</v>
      </c>
      <c r="P34">
        <v>0</v>
      </c>
      <c r="Q34">
        <v>0</v>
      </c>
      <c r="R34">
        <v>0</v>
      </c>
      <c r="S34">
        <v>0</v>
      </c>
      <c r="T34">
        <v>12000</v>
      </c>
      <c r="U34" t="s">
        <v>151</v>
      </c>
    </row>
    <row r="35" spans="1:21" x14ac:dyDescent="0.25">
      <c r="A35" t="s">
        <v>152</v>
      </c>
      <c r="B35" t="s">
        <v>153</v>
      </c>
      <c r="C35" t="s">
        <v>154</v>
      </c>
      <c r="D35" t="s">
        <v>155</v>
      </c>
      <c r="E35">
        <v>45863</v>
      </c>
      <c r="F35" t="s">
        <v>66</v>
      </c>
      <c r="G35" t="s">
        <v>48</v>
      </c>
      <c r="H35">
        <v>62335</v>
      </c>
      <c r="I35">
        <v>38040</v>
      </c>
      <c r="J35">
        <v>30544.139900000002</v>
      </c>
      <c r="K35">
        <v>43912.621100000004</v>
      </c>
      <c r="L35">
        <v>-5872.6211000000039</v>
      </c>
      <c r="M35">
        <v>18422.378899999996</v>
      </c>
      <c r="N35" s="4">
        <v>0.29553828346835642</v>
      </c>
      <c r="O35">
        <v>0</v>
      </c>
      <c r="P35">
        <v>0</v>
      </c>
      <c r="Q35">
        <v>-1116.71</v>
      </c>
      <c r="R35">
        <v>-79.5</v>
      </c>
      <c r="S35">
        <v>1531.2528999999995</v>
      </c>
      <c r="T35">
        <v>7160.8171999999977</v>
      </c>
      <c r="U35" t="s">
        <v>39</v>
      </c>
    </row>
    <row r="36" spans="1:21" x14ac:dyDescent="0.25">
      <c r="A36" t="s">
        <v>156</v>
      </c>
      <c r="B36" t="s">
        <v>55</v>
      </c>
      <c r="C36" t="s">
        <v>157</v>
      </c>
      <c r="D36" t="s">
        <v>158</v>
      </c>
      <c r="E36">
        <v>46045</v>
      </c>
      <c r="F36" t="s">
        <v>84</v>
      </c>
      <c r="G36" t="s">
        <v>22</v>
      </c>
      <c r="H36">
        <v>58850</v>
      </c>
      <c r="I36">
        <v>39807.880000000005</v>
      </c>
      <c r="J36">
        <v>40385.624100000001</v>
      </c>
      <c r="K36">
        <v>46553.207500000004</v>
      </c>
      <c r="L36">
        <v>-6745.3274999999994</v>
      </c>
      <c r="M36">
        <v>12296.792499999996</v>
      </c>
      <c r="N36" s="4">
        <v>0.2089514443500424</v>
      </c>
      <c r="O36">
        <v>0</v>
      </c>
      <c r="P36">
        <v>0</v>
      </c>
      <c r="Q36">
        <v>-100.70000000000027</v>
      </c>
      <c r="R36">
        <v>1126.25</v>
      </c>
      <c r="S36">
        <v>-5816.5414000000019</v>
      </c>
      <c r="T36">
        <v>4213.2473000000027</v>
      </c>
      <c r="U36" t="s">
        <v>34</v>
      </c>
    </row>
    <row r="37" spans="1:21" x14ac:dyDescent="0.25">
      <c r="A37" t="s">
        <v>159</v>
      </c>
      <c r="B37" t="s">
        <v>160</v>
      </c>
      <c r="C37" t="s">
        <v>161</v>
      </c>
      <c r="D37" t="s">
        <v>162</v>
      </c>
      <c r="E37">
        <v>0</v>
      </c>
      <c r="F37" t="s">
        <v>66</v>
      </c>
      <c r="G37" t="s">
        <v>22</v>
      </c>
      <c r="H37">
        <v>39900</v>
      </c>
      <c r="I37">
        <v>27718.22</v>
      </c>
      <c r="J37">
        <v>31036.034300000003</v>
      </c>
      <c r="K37">
        <v>35769.437900000004</v>
      </c>
      <c r="L37">
        <v>-8051.2179000000033</v>
      </c>
      <c r="M37">
        <v>4130.5620999999956</v>
      </c>
      <c r="N37" s="4">
        <v>0.10352285964912269</v>
      </c>
      <c r="O37">
        <v>1</v>
      </c>
      <c r="P37">
        <v>0</v>
      </c>
      <c r="Q37">
        <v>-1098.69</v>
      </c>
      <c r="R37">
        <v>-1351.5</v>
      </c>
      <c r="S37">
        <v>-2909.416299999999</v>
      </c>
      <c r="T37">
        <v>2041.7919999999958</v>
      </c>
      <c r="U37" t="s">
        <v>39</v>
      </c>
    </row>
    <row r="38" spans="1:21" x14ac:dyDescent="0.25">
      <c r="A38" t="s">
        <v>163</v>
      </c>
      <c r="B38" t="s">
        <v>106</v>
      </c>
      <c r="C38" t="s">
        <v>164</v>
      </c>
      <c r="D38" t="s">
        <v>108</v>
      </c>
      <c r="E38">
        <v>46196</v>
      </c>
      <c r="F38" t="s">
        <v>28</v>
      </c>
      <c r="G38" t="s">
        <v>22</v>
      </c>
      <c r="H38">
        <v>209250</v>
      </c>
      <c r="I38">
        <v>149613.89000000001</v>
      </c>
      <c r="J38">
        <v>122554.24000000001</v>
      </c>
      <c r="K38">
        <v>130711.7056</v>
      </c>
      <c r="L38">
        <v>18902.184400000013</v>
      </c>
      <c r="M38">
        <v>78538.294399999999</v>
      </c>
      <c r="N38" s="4">
        <v>0.37533235077658306</v>
      </c>
      <c r="O38">
        <v>0</v>
      </c>
      <c r="P38">
        <v>0</v>
      </c>
      <c r="Q38">
        <v>150</v>
      </c>
      <c r="R38">
        <v>0</v>
      </c>
      <c r="S38">
        <v>8370</v>
      </c>
      <c r="T38">
        <v>141043.89000000001</v>
      </c>
      <c r="U38" t="s">
        <v>43</v>
      </c>
    </row>
    <row r="39" spans="1:21" x14ac:dyDescent="0.25">
      <c r="A39" t="s">
        <v>165</v>
      </c>
      <c r="B39" t="s">
        <v>166</v>
      </c>
      <c r="C39" t="s">
        <v>167</v>
      </c>
      <c r="D39" t="s">
        <v>168</v>
      </c>
      <c r="E39">
        <v>46048</v>
      </c>
      <c r="F39" t="s">
        <v>28</v>
      </c>
      <c r="G39" t="s">
        <v>48</v>
      </c>
      <c r="H39">
        <v>25095</v>
      </c>
      <c r="I39">
        <v>17856</v>
      </c>
      <c r="J39">
        <v>17432</v>
      </c>
      <c r="K39">
        <v>17932</v>
      </c>
      <c r="L39">
        <v>-76</v>
      </c>
      <c r="M39">
        <v>7163</v>
      </c>
      <c r="N39" s="4">
        <v>0.28543534568639173</v>
      </c>
      <c r="O39">
        <v>0</v>
      </c>
      <c r="P39">
        <v>0</v>
      </c>
      <c r="Q39">
        <v>530</v>
      </c>
      <c r="R39">
        <v>-106</v>
      </c>
      <c r="S39">
        <v>0</v>
      </c>
      <c r="T39">
        <v>0</v>
      </c>
      <c r="U39" t="s">
        <v>43</v>
      </c>
    </row>
    <row r="40" spans="1:21" x14ac:dyDescent="0.25">
      <c r="A40" t="s">
        <v>169</v>
      </c>
      <c r="B40" t="s">
        <v>170</v>
      </c>
      <c r="C40" t="s">
        <v>171</v>
      </c>
      <c r="D40" t="s">
        <v>172</v>
      </c>
      <c r="E40">
        <v>0</v>
      </c>
      <c r="F40" t="s">
        <v>97</v>
      </c>
      <c r="G40" t="s">
        <v>53</v>
      </c>
      <c r="H40">
        <v>570000</v>
      </c>
      <c r="I40">
        <v>339129</v>
      </c>
      <c r="J40">
        <v>236892.7414</v>
      </c>
      <c r="K40">
        <v>404731.97229999996</v>
      </c>
      <c r="L40">
        <v>-65602.972299999965</v>
      </c>
      <c r="M40">
        <v>165268.02770000004</v>
      </c>
      <c r="N40" s="4">
        <v>0.28994390824561411</v>
      </c>
      <c r="O40">
        <v>0</v>
      </c>
      <c r="P40">
        <v>0</v>
      </c>
      <c r="Q40">
        <v>6932.4000000000005</v>
      </c>
      <c r="R40">
        <v>79.5</v>
      </c>
      <c r="S40">
        <v>66646.547099999996</v>
      </c>
      <c r="T40">
        <v>132830.85149999999</v>
      </c>
      <c r="U40" t="s">
        <v>34</v>
      </c>
    </row>
    <row r="41" spans="1:21" x14ac:dyDescent="0.25">
      <c r="A41" t="s">
        <v>173</v>
      </c>
      <c r="B41" t="s">
        <v>174</v>
      </c>
      <c r="C41" t="s">
        <v>175</v>
      </c>
      <c r="D41" t="s">
        <v>176</v>
      </c>
      <c r="E41">
        <v>0</v>
      </c>
      <c r="F41" t="s">
        <v>38</v>
      </c>
      <c r="G41" t="s">
        <v>48</v>
      </c>
      <c r="H41">
        <v>26300</v>
      </c>
      <c r="I41">
        <v>16662.260000000002</v>
      </c>
      <c r="J41">
        <v>10884.980800000001</v>
      </c>
      <c r="K41">
        <v>17181.5262</v>
      </c>
      <c r="L41">
        <v>-519.26619999999821</v>
      </c>
      <c r="M41">
        <v>9118.4737999999998</v>
      </c>
      <c r="N41" s="4">
        <v>0.34671003041825094</v>
      </c>
      <c r="O41">
        <v>0</v>
      </c>
      <c r="P41">
        <v>0</v>
      </c>
      <c r="Q41">
        <v>1476.58</v>
      </c>
      <c r="R41">
        <v>-357.75</v>
      </c>
      <c r="S41">
        <v>6462.6600999999991</v>
      </c>
      <c r="T41">
        <v>-1804.2109</v>
      </c>
      <c r="U41" t="s">
        <v>58</v>
      </c>
    </row>
    <row r="42" spans="1:21" x14ac:dyDescent="0.25">
      <c r="A42" t="s">
        <v>177</v>
      </c>
      <c r="B42" t="s">
        <v>178</v>
      </c>
      <c r="C42" t="s">
        <v>179</v>
      </c>
      <c r="D42" t="s">
        <v>180</v>
      </c>
      <c r="E42">
        <v>46139</v>
      </c>
      <c r="F42" t="s">
        <v>84</v>
      </c>
      <c r="G42" t="s">
        <v>22</v>
      </c>
      <c r="H42">
        <v>74000</v>
      </c>
      <c r="I42">
        <v>39969</v>
      </c>
      <c r="J42">
        <v>35307.379699999998</v>
      </c>
      <c r="K42">
        <v>35822.952799999999</v>
      </c>
      <c r="L42">
        <v>4146.0472000000009</v>
      </c>
      <c r="M42">
        <v>38177.047200000001</v>
      </c>
      <c r="N42" s="4">
        <v>0.5159060432432433</v>
      </c>
      <c r="O42">
        <v>0</v>
      </c>
      <c r="P42">
        <v>0</v>
      </c>
      <c r="Q42">
        <v>-704.89999999999964</v>
      </c>
      <c r="R42">
        <v>1431</v>
      </c>
      <c r="S42">
        <v>1980.2371000000001</v>
      </c>
      <c r="T42">
        <v>16537.483200000002</v>
      </c>
      <c r="U42" t="s">
        <v>34</v>
      </c>
    </row>
    <row r="43" spans="1:21" x14ac:dyDescent="0.25">
      <c r="A43" t="s">
        <v>181</v>
      </c>
      <c r="B43" t="s">
        <v>182</v>
      </c>
      <c r="C43" t="s">
        <v>183</v>
      </c>
      <c r="D43" t="s">
        <v>184</v>
      </c>
      <c r="E43">
        <v>45828</v>
      </c>
      <c r="F43" t="s">
        <v>38</v>
      </c>
      <c r="G43" t="s">
        <v>48</v>
      </c>
      <c r="H43">
        <v>13720</v>
      </c>
      <c r="I43">
        <v>6606</v>
      </c>
      <c r="J43">
        <v>8270.9876999999997</v>
      </c>
      <c r="K43">
        <v>8270.9876999999997</v>
      </c>
      <c r="L43">
        <v>-1664.9876999999997</v>
      </c>
      <c r="M43">
        <v>5449.0123000000003</v>
      </c>
      <c r="N43" s="4">
        <v>0.3971583309037901</v>
      </c>
      <c r="O43">
        <v>1</v>
      </c>
      <c r="P43">
        <v>0</v>
      </c>
      <c r="Q43">
        <v>-7.9500000000000455</v>
      </c>
      <c r="R43">
        <v>0</v>
      </c>
      <c r="S43">
        <v>2474.4474</v>
      </c>
      <c r="T43">
        <v>-4131.4850999999999</v>
      </c>
      <c r="U43" t="s">
        <v>34</v>
      </c>
    </row>
    <row r="44" spans="1:21" x14ac:dyDescent="0.25">
      <c r="A44" t="s">
        <v>185</v>
      </c>
      <c r="B44" t="s">
        <v>186</v>
      </c>
      <c r="C44" t="s">
        <v>187</v>
      </c>
      <c r="D44">
        <v>0</v>
      </c>
      <c r="E44">
        <v>0</v>
      </c>
      <c r="F44" t="s">
        <v>66</v>
      </c>
      <c r="G44" t="s">
        <v>48</v>
      </c>
      <c r="H44">
        <v>22117</v>
      </c>
      <c r="I44">
        <v>8458.6</v>
      </c>
      <c r="J44">
        <v>3196.6776</v>
      </c>
      <c r="K44">
        <v>18506.465400000001</v>
      </c>
      <c r="L44">
        <v>-10047.865400000001</v>
      </c>
      <c r="M44">
        <v>3610.534599999999</v>
      </c>
      <c r="N44" s="4">
        <v>0.16324703169507615</v>
      </c>
      <c r="O44">
        <v>1</v>
      </c>
      <c r="P44">
        <v>0</v>
      </c>
      <c r="Q44">
        <v>121.37</v>
      </c>
      <c r="R44">
        <v>265</v>
      </c>
      <c r="S44">
        <v>3111.9133999999999</v>
      </c>
      <c r="T44">
        <v>1763.6390000000001</v>
      </c>
      <c r="U44" t="s">
        <v>34</v>
      </c>
    </row>
    <row r="45" spans="1:21" x14ac:dyDescent="0.25">
      <c r="A45" t="s">
        <v>188</v>
      </c>
      <c r="B45" t="s">
        <v>189</v>
      </c>
      <c r="C45" t="s">
        <v>190</v>
      </c>
      <c r="D45">
        <v>0</v>
      </c>
      <c r="E45">
        <v>0</v>
      </c>
      <c r="F45" t="s">
        <v>97</v>
      </c>
      <c r="G45" t="s">
        <v>22</v>
      </c>
      <c r="H45">
        <v>78800</v>
      </c>
      <c r="I45">
        <v>47867.05</v>
      </c>
      <c r="J45">
        <v>19090.448100000001</v>
      </c>
      <c r="K45">
        <v>49748.529600000002</v>
      </c>
      <c r="L45">
        <v>-1881.4795999999988</v>
      </c>
      <c r="M45">
        <v>29051.470399999998</v>
      </c>
      <c r="N45" s="4">
        <v>0.36867348223350249</v>
      </c>
      <c r="O45">
        <v>0</v>
      </c>
      <c r="P45">
        <v>0</v>
      </c>
      <c r="Q45">
        <v>954</v>
      </c>
      <c r="R45">
        <v>556.5</v>
      </c>
      <c r="S45">
        <v>14525.9985</v>
      </c>
      <c r="T45">
        <v>12740.103399999998</v>
      </c>
      <c r="U45" t="s">
        <v>34</v>
      </c>
    </row>
    <row r="46" spans="1:21" x14ac:dyDescent="0.25">
      <c r="A46" t="s">
        <v>191</v>
      </c>
      <c r="B46" t="s">
        <v>174</v>
      </c>
      <c r="C46" t="s">
        <v>192</v>
      </c>
      <c r="D46" t="s">
        <v>193</v>
      </c>
      <c r="E46">
        <v>0</v>
      </c>
      <c r="F46" t="s">
        <v>38</v>
      </c>
      <c r="G46" t="s">
        <v>48</v>
      </c>
      <c r="H46">
        <v>10900</v>
      </c>
      <c r="I46">
        <v>6775.9699999999993</v>
      </c>
      <c r="J46">
        <v>1529.5893000000001</v>
      </c>
      <c r="K46">
        <v>3564.8033999999998</v>
      </c>
      <c r="L46">
        <v>3211.1665999999996</v>
      </c>
      <c r="M46">
        <v>7335.1966000000002</v>
      </c>
      <c r="N46" s="4">
        <v>0.67295381651376152</v>
      </c>
      <c r="O46">
        <v>0</v>
      </c>
      <c r="P46">
        <v>0</v>
      </c>
      <c r="Q46">
        <v>3.7100000000000364</v>
      </c>
      <c r="R46">
        <v>-53</v>
      </c>
      <c r="S46">
        <v>664.44709999999986</v>
      </c>
      <c r="T46">
        <v>4631.2235999999994</v>
      </c>
      <c r="U46" t="s">
        <v>58</v>
      </c>
    </row>
    <row r="47" spans="1:21" x14ac:dyDescent="0.25">
      <c r="A47" t="s">
        <v>194</v>
      </c>
      <c r="B47" t="s">
        <v>195</v>
      </c>
      <c r="C47" t="s">
        <v>196</v>
      </c>
      <c r="D47" t="s">
        <v>197</v>
      </c>
      <c r="E47">
        <v>46009</v>
      </c>
      <c r="F47" t="s">
        <v>84</v>
      </c>
      <c r="G47" t="s">
        <v>22</v>
      </c>
      <c r="H47">
        <v>88679</v>
      </c>
      <c r="I47">
        <v>60600</v>
      </c>
      <c r="J47">
        <v>22851.908599999999</v>
      </c>
      <c r="K47">
        <v>43194.627</v>
      </c>
      <c r="L47">
        <v>17405.373</v>
      </c>
      <c r="M47">
        <v>45484.373</v>
      </c>
      <c r="N47" s="4">
        <v>0.51291030570935625</v>
      </c>
      <c r="O47">
        <v>0</v>
      </c>
      <c r="P47">
        <v>0</v>
      </c>
      <c r="Q47">
        <v>530</v>
      </c>
      <c r="R47">
        <v>106</v>
      </c>
      <c r="S47">
        <v>16260.676500000001</v>
      </c>
      <c r="T47">
        <v>20897.734899999996</v>
      </c>
      <c r="U47" t="s">
        <v>34</v>
      </c>
    </row>
    <row r="48" spans="1:21" x14ac:dyDescent="0.25">
      <c r="A48" t="s">
        <v>198</v>
      </c>
      <c r="B48" t="s">
        <v>199</v>
      </c>
      <c r="C48" t="s">
        <v>200</v>
      </c>
      <c r="D48">
        <v>0</v>
      </c>
      <c r="E48">
        <v>0</v>
      </c>
      <c r="F48" t="s">
        <v>66</v>
      </c>
      <c r="G48" t="s">
        <v>201</v>
      </c>
      <c r="H48">
        <v>6890</v>
      </c>
      <c r="I48">
        <v>3226.1</v>
      </c>
      <c r="J48">
        <v>0</v>
      </c>
      <c r="K48">
        <v>3200</v>
      </c>
      <c r="L48">
        <v>26.099999999999909</v>
      </c>
      <c r="M48">
        <v>3690</v>
      </c>
      <c r="N48" s="4">
        <v>0.53555878084179975</v>
      </c>
      <c r="O48">
        <v>0</v>
      </c>
      <c r="P48">
        <v>0</v>
      </c>
      <c r="Q48">
        <v>424</v>
      </c>
      <c r="R48">
        <v>212</v>
      </c>
      <c r="S48">
        <v>1906.5</v>
      </c>
      <c r="T48">
        <v>683.59999999999991</v>
      </c>
      <c r="U48" t="s">
        <v>34</v>
      </c>
    </row>
    <row r="49" spans="1:21" x14ac:dyDescent="0.25">
      <c r="A49" t="s">
        <v>202</v>
      </c>
      <c r="B49" t="s">
        <v>203</v>
      </c>
      <c r="C49" t="s">
        <v>204</v>
      </c>
      <c r="D49">
        <v>0</v>
      </c>
      <c r="E49" t="s">
        <v>205</v>
      </c>
      <c r="F49" t="s">
        <v>93</v>
      </c>
      <c r="G49" t="s">
        <v>22</v>
      </c>
      <c r="H49">
        <v>52040</v>
      </c>
      <c r="I49">
        <v>36262</v>
      </c>
      <c r="J49">
        <v>18335</v>
      </c>
      <c r="K49">
        <v>33335</v>
      </c>
      <c r="L49">
        <v>2927</v>
      </c>
      <c r="M49">
        <v>18705</v>
      </c>
      <c r="N49" s="4">
        <v>0.359435049961568</v>
      </c>
      <c r="O49">
        <v>0</v>
      </c>
      <c r="P49">
        <v>0</v>
      </c>
      <c r="Q49">
        <v>795</v>
      </c>
      <c r="R49">
        <v>-7155</v>
      </c>
      <c r="S49">
        <v>18810</v>
      </c>
      <c r="T49">
        <v>13477</v>
      </c>
      <c r="U49" t="s">
        <v>34</v>
      </c>
    </row>
    <row r="50" spans="1:21" x14ac:dyDescent="0.25">
      <c r="A50" t="s">
        <v>206</v>
      </c>
      <c r="B50" t="s">
        <v>207</v>
      </c>
      <c r="C50" t="s">
        <v>208</v>
      </c>
      <c r="D50">
        <v>0</v>
      </c>
      <c r="E50">
        <v>0</v>
      </c>
      <c r="F50" t="s">
        <v>21</v>
      </c>
      <c r="G50" t="s">
        <v>22</v>
      </c>
      <c r="H50">
        <v>40200</v>
      </c>
      <c r="I50">
        <v>27450.9</v>
      </c>
      <c r="J50">
        <v>9547.2161999999989</v>
      </c>
      <c r="K50">
        <v>26803.512999999999</v>
      </c>
      <c r="L50">
        <v>647.38700000000244</v>
      </c>
      <c r="M50">
        <v>13396.487000000001</v>
      </c>
      <c r="N50" s="4">
        <v>0.33324594527363188</v>
      </c>
      <c r="O50">
        <v>0</v>
      </c>
      <c r="P50">
        <v>0</v>
      </c>
      <c r="Q50">
        <v>-43.460000000000036</v>
      </c>
      <c r="R50">
        <v>5.3000000000001819</v>
      </c>
      <c r="S50">
        <v>9208.7963</v>
      </c>
      <c r="T50">
        <v>8733.0475000000006</v>
      </c>
      <c r="U50" t="s">
        <v>34</v>
      </c>
    </row>
    <row r="51" spans="1:21" x14ac:dyDescent="0.25">
      <c r="A51" t="s">
        <v>209</v>
      </c>
      <c r="B51" t="s">
        <v>210</v>
      </c>
      <c r="C51" t="s">
        <v>211</v>
      </c>
      <c r="D51">
        <v>0</v>
      </c>
      <c r="E51">
        <v>0</v>
      </c>
      <c r="F51" t="s">
        <v>84</v>
      </c>
      <c r="G51" t="s">
        <v>48</v>
      </c>
      <c r="H51">
        <v>6441</v>
      </c>
      <c r="I51">
        <v>2683</v>
      </c>
      <c r="J51">
        <v>1</v>
      </c>
      <c r="K51">
        <v>2684</v>
      </c>
      <c r="L51">
        <v>-1</v>
      </c>
      <c r="M51">
        <v>3757</v>
      </c>
      <c r="N51" s="4">
        <v>0.58329451948455213</v>
      </c>
      <c r="O51">
        <v>0</v>
      </c>
      <c r="P51">
        <v>0</v>
      </c>
      <c r="Q51">
        <v>0</v>
      </c>
      <c r="R51">
        <v>0</v>
      </c>
      <c r="S51">
        <v>0</v>
      </c>
      <c r="T51">
        <v>2683</v>
      </c>
      <c r="U51" t="s">
        <v>34</v>
      </c>
    </row>
    <row r="52" spans="1:21" x14ac:dyDescent="0.25">
      <c r="A52" t="s">
        <v>212</v>
      </c>
      <c r="B52" t="s">
        <v>213</v>
      </c>
      <c r="C52" t="s">
        <v>214</v>
      </c>
      <c r="D52" t="s">
        <v>215</v>
      </c>
      <c r="E52">
        <v>0</v>
      </c>
      <c r="F52" t="s">
        <v>38</v>
      </c>
      <c r="G52" t="s">
        <v>22</v>
      </c>
      <c r="H52">
        <v>52158.272727272721</v>
      </c>
      <c r="I52">
        <v>21823.662</v>
      </c>
      <c r="J52">
        <v>25849.825300000004</v>
      </c>
      <c r="K52">
        <v>25849.825300000004</v>
      </c>
      <c r="L52">
        <v>-4026.1633000000038</v>
      </c>
      <c r="M52">
        <v>26308.447427272717</v>
      </c>
      <c r="N52" s="4">
        <v>0.50439644665450079</v>
      </c>
      <c r="O52">
        <v>0</v>
      </c>
      <c r="P52">
        <v>0</v>
      </c>
      <c r="Q52">
        <v>-410.74999999999977</v>
      </c>
      <c r="R52">
        <v>0</v>
      </c>
      <c r="S52">
        <v>-3333.1372000000001</v>
      </c>
      <c r="T52">
        <v>-282.27610000000277</v>
      </c>
      <c r="U52" t="s">
        <v>58</v>
      </c>
    </row>
    <row r="53" spans="1:21" x14ac:dyDescent="0.25">
      <c r="A53" t="s">
        <v>216</v>
      </c>
      <c r="B53" t="s">
        <v>217</v>
      </c>
      <c r="C53" t="s">
        <v>218</v>
      </c>
      <c r="D53" t="s">
        <v>219</v>
      </c>
      <c r="E53">
        <v>46030</v>
      </c>
      <c r="F53" t="s">
        <v>84</v>
      </c>
      <c r="G53" t="s">
        <v>48</v>
      </c>
      <c r="H53">
        <v>2240.63</v>
      </c>
      <c r="I53">
        <v>2052</v>
      </c>
      <c r="J53">
        <v>1812.05</v>
      </c>
      <c r="K53">
        <v>1812.05</v>
      </c>
      <c r="L53">
        <v>239.95000000000005</v>
      </c>
      <c r="M53">
        <v>428.58000000000015</v>
      </c>
      <c r="N53" s="4">
        <v>0.19127656061018558</v>
      </c>
      <c r="O53">
        <v>0</v>
      </c>
      <c r="P53">
        <v>0</v>
      </c>
      <c r="Q53">
        <v>-74.200000000000017</v>
      </c>
      <c r="R53">
        <v>-66.25</v>
      </c>
      <c r="S53">
        <v>0</v>
      </c>
      <c r="T53">
        <v>1840</v>
      </c>
      <c r="U53" t="s">
        <v>34</v>
      </c>
    </row>
    <row r="54" spans="1:21" x14ac:dyDescent="0.25">
      <c r="A54" t="s">
        <v>220</v>
      </c>
      <c r="B54" t="s">
        <v>221</v>
      </c>
      <c r="C54" t="s">
        <v>222</v>
      </c>
      <c r="D54">
        <v>0</v>
      </c>
      <c r="E54">
        <v>0</v>
      </c>
      <c r="F54" t="s">
        <v>21</v>
      </c>
      <c r="G54" t="s">
        <v>22</v>
      </c>
      <c r="H54">
        <v>194500</v>
      </c>
      <c r="I54">
        <v>125207.06</v>
      </c>
      <c r="J54">
        <v>9964.6447000000007</v>
      </c>
      <c r="K54">
        <v>123951.2755</v>
      </c>
      <c r="L54">
        <v>1255.7844999999943</v>
      </c>
      <c r="M54">
        <v>70548.724499999997</v>
      </c>
      <c r="N54" s="4">
        <v>0.36271837789203082</v>
      </c>
      <c r="O54">
        <v>0</v>
      </c>
      <c r="P54">
        <v>0</v>
      </c>
      <c r="Q54">
        <v>3392</v>
      </c>
      <c r="R54">
        <v>490.25</v>
      </c>
      <c r="S54">
        <v>47976.813800000004</v>
      </c>
      <c r="T54">
        <v>63383.351499999997</v>
      </c>
      <c r="U54" t="s">
        <v>34</v>
      </c>
    </row>
    <row r="55" spans="1:21" x14ac:dyDescent="0.25">
      <c r="A55" t="s">
        <v>223</v>
      </c>
      <c r="B55">
        <v>0</v>
      </c>
      <c r="C55">
        <v>0</v>
      </c>
      <c r="D55">
        <v>0</v>
      </c>
      <c r="E55">
        <v>0</v>
      </c>
      <c r="F55" t="s">
        <v>21</v>
      </c>
      <c r="G55" t="s">
        <v>22</v>
      </c>
      <c r="H55">
        <v>118500</v>
      </c>
      <c r="I55">
        <v>77992.77</v>
      </c>
      <c r="J55">
        <v>477</v>
      </c>
      <c r="K55">
        <v>78751.219199999992</v>
      </c>
      <c r="L55">
        <v>-758.4491999999882</v>
      </c>
      <c r="M55">
        <v>39748.780800000008</v>
      </c>
      <c r="N55" s="4">
        <v>0.33543274936708867</v>
      </c>
      <c r="O55">
        <v>0</v>
      </c>
      <c r="P55">
        <v>0</v>
      </c>
      <c r="Q55">
        <v>3763</v>
      </c>
      <c r="R55">
        <v>795</v>
      </c>
      <c r="S55">
        <v>24179.230100000001</v>
      </c>
      <c r="T55">
        <v>48778.539900000003</v>
      </c>
      <c r="U55" t="s">
        <v>34</v>
      </c>
    </row>
    <row r="56" spans="1:21" x14ac:dyDescent="0.25">
      <c r="A56" t="s">
        <v>224</v>
      </c>
      <c r="B56" t="s">
        <v>160</v>
      </c>
      <c r="C56" t="s">
        <v>225</v>
      </c>
      <c r="D56" t="s">
        <v>226</v>
      </c>
      <c r="E56">
        <v>0</v>
      </c>
      <c r="F56" t="s">
        <v>66</v>
      </c>
      <c r="G56" t="s">
        <v>53</v>
      </c>
      <c r="H56">
        <v>333890</v>
      </c>
      <c r="I56">
        <v>222212.5</v>
      </c>
      <c r="J56">
        <v>93014.029300000009</v>
      </c>
      <c r="K56">
        <v>148828.14640000003</v>
      </c>
      <c r="L56">
        <v>73384.353599999973</v>
      </c>
      <c r="M56">
        <v>185061.85359999997</v>
      </c>
      <c r="N56" s="4">
        <v>0.55425994668902923</v>
      </c>
      <c r="O56">
        <v>0</v>
      </c>
      <c r="P56">
        <v>0</v>
      </c>
      <c r="Q56">
        <v>1758.0099999999993</v>
      </c>
      <c r="R56">
        <v>2557.25</v>
      </c>
      <c r="S56">
        <v>56767.814899999998</v>
      </c>
      <c r="T56">
        <v>68115.395799999998</v>
      </c>
      <c r="U56" t="s">
        <v>34</v>
      </c>
    </row>
    <row r="57" spans="1:21" x14ac:dyDescent="0.25">
      <c r="A57" t="s">
        <v>227</v>
      </c>
      <c r="B57" t="s">
        <v>228</v>
      </c>
      <c r="C57" t="s">
        <v>229</v>
      </c>
      <c r="D57" t="s">
        <v>230</v>
      </c>
      <c r="E57">
        <v>0</v>
      </c>
      <c r="F57" t="s">
        <v>28</v>
      </c>
      <c r="G57" t="s">
        <v>48</v>
      </c>
      <c r="H57">
        <v>8200</v>
      </c>
      <c r="I57">
        <v>5190</v>
      </c>
      <c r="J57">
        <v>4183</v>
      </c>
      <c r="K57">
        <v>4933</v>
      </c>
      <c r="L57">
        <v>257</v>
      </c>
      <c r="M57">
        <v>3267</v>
      </c>
      <c r="N57" s="4">
        <v>0.39841463414634148</v>
      </c>
      <c r="O57">
        <v>0</v>
      </c>
      <c r="P57">
        <v>0</v>
      </c>
      <c r="Q57">
        <v>795</v>
      </c>
      <c r="R57">
        <v>212</v>
      </c>
      <c r="S57">
        <v>0</v>
      </c>
      <c r="T57">
        <v>0</v>
      </c>
      <c r="U57" t="s">
        <v>43</v>
      </c>
    </row>
    <row r="58" spans="1:21" x14ac:dyDescent="0.25">
      <c r="A58" t="s">
        <v>231</v>
      </c>
      <c r="B58" t="s">
        <v>90</v>
      </c>
      <c r="C58" t="s">
        <v>232</v>
      </c>
      <c r="D58" t="s">
        <v>233</v>
      </c>
      <c r="E58">
        <v>46010</v>
      </c>
      <c r="F58" t="s">
        <v>28</v>
      </c>
      <c r="G58" t="s">
        <v>48</v>
      </c>
      <c r="H58">
        <v>16310</v>
      </c>
      <c r="I58">
        <v>10062.23</v>
      </c>
      <c r="J58">
        <v>8249.0252</v>
      </c>
      <c r="K58">
        <v>11323.5623</v>
      </c>
      <c r="L58">
        <v>-1261.3323</v>
      </c>
      <c r="M58">
        <v>4986.4377000000004</v>
      </c>
      <c r="N58" s="4">
        <v>0.3057288595953403</v>
      </c>
      <c r="O58">
        <v>0</v>
      </c>
      <c r="P58">
        <v>0</v>
      </c>
      <c r="Q58">
        <v>530</v>
      </c>
      <c r="R58">
        <v>-225.25</v>
      </c>
      <c r="S58">
        <v>1508.4548</v>
      </c>
      <c r="T58">
        <v>0</v>
      </c>
      <c r="U58" t="s">
        <v>43</v>
      </c>
    </row>
    <row r="59" spans="1:21" x14ac:dyDescent="0.25">
      <c r="A59" t="s">
        <v>234</v>
      </c>
      <c r="B59" t="s">
        <v>235</v>
      </c>
      <c r="C59" t="s">
        <v>236</v>
      </c>
      <c r="D59">
        <v>0</v>
      </c>
      <c r="E59">
        <v>0</v>
      </c>
      <c r="F59" t="s">
        <v>93</v>
      </c>
      <c r="G59" t="s">
        <v>22</v>
      </c>
      <c r="H59">
        <v>70200</v>
      </c>
      <c r="I59">
        <v>45451</v>
      </c>
      <c r="J59">
        <v>10</v>
      </c>
      <c r="K59">
        <v>45010</v>
      </c>
      <c r="L59">
        <v>441</v>
      </c>
      <c r="M59">
        <v>25190</v>
      </c>
      <c r="N59" s="4">
        <v>0.35883190883190885</v>
      </c>
      <c r="O59">
        <v>0</v>
      </c>
      <c r="P59">
        <v>0</v>
      </c>
      <c r="Q59">
        <v>1590</v>
      </c>
      <c r="R59">
        <v>2120</v>
      </c>
      <c r="S59">
        <v>22448</v>
      </c>
      <c r="T59">
        <v>19293</v>
      </c>
      <c r="U59" t="s">
        <v>58</v>
      </c>
    </row>
    <row r="60" spans="1:21" x14ac:dyDescent="0.25">
      <c r="A60" t="s">
        <v>237</v>
      </c>
      <c r="B60" t="s">
        <v>238</v>
      </c>
      <c r="C60" t="s">
        <v>239</v>
      </c>
      <c r="D60" t="s">
        <v>240</v>
      </c>
      <c r="E60">
        <v>45993</v>
      </c>
      <c r="F60" t="s">
        <v>84</v>
      </c>
      <c r="G60" t="s">
        <v>48</v>
      </c>
      <c r="H60">
        <v>9460</v>
      </c>
      <c r="I60">
        <v>6039.5</v>
      </c>
      <c r="J60">
        <v>2736.0565999999999</v>
      </c>
      <c r="K60">
        <v>4570.8505000000005</v>
      </c>
      <c r="L60">
        <v>1468.6494999999995</v>
      </c>
      <c r="M60">
        <v>4889.1494999999995</v>
      </c>
      <c r="N60" s="4">
        <v>0.51682341437632129</v>
      </c>
      <c r="O60">
        <v>0</v>
      </c>
      <c r="P60">
        <v>0</v>
      </c>
      <c r="Q60">
        <v>-111.29999999999995</v>
      </c>
      <c r="R60">
        <v>-119.25</v>
      </c>
      <c r="S60">
        <v>1873.3681000000001</v>
      </c>
      <c r="T60">
        <v>2197.1752999999999</v>
      </c>
      <c r="U60" t="s">
        <v>34</v>
      </c>
    </row>
    <row r="61" spans="1:21" x14ac:dyDescent="0.25">
      <c r="A61" t="s">
        <v>241</v>
      </c>
      <c r="B61" t="s">
        <v>242</v>
      </c>
      <c r="C61" t="s">
        <v>243</v>
      </c>
      <c r="D61">
        <v>0</v>
      </c>
      <c r="E61">
        <v>0</v>
      </c>
      <c r="F61" t="s">
        <v>38</v>
      </c>
      <c r="G61" t="s">
        <v>22</v>
      </c>
      <c r="H61">
        <v>38938</v>
      </c>
      <c r="I61">
        <v>15030</v>
      </c>
      <c r="J61">
        <v>14125.868999999999</v>
      </c>
      <c r="K61">
        <v>14375.868999999999</v>
      </c>
      <c r="L61">
        <v>654.13100000000122</v>
      </c>
      <c r="M61">
        <v>24562.131000000001</v>
      </c>
      <c r="N61" s="4">
        <v>0.63080104268324</v>
      </c>
      <c r="O61">
        <v>0</v>
      </c>
      <c r="P61">
        <v>0</v>
      </c>
      <c r="Q61">
        <v>-2.6500000000000909</v>
      </c>
      <c r="R61">
        <v>0</v>
      </c>
      <c r="S61">
        <v>-1005.4243999999999</v>
      </c>
      <c r="T61">
        <v>1912.2054000000007</v>
      </c>
      <c r="U61" t="s">
        <v>58</v>
      </c>
    </row>
    <row r="62" spans="1:21" x14ac:dyDescent="0.25">
      <c r="A62" t="s">
        <v>244</v>
      </c>
      <c r="B62" t="s">
        <v>245</v>
      </c>
      <c r="C62" t="s">
        <v>246</v>
      </c>
      <c r="D62" t="s">
        <v>247</v>
      </c>
      <c r="E62">
        <v>0</v>
      </c>
      <c r="F62" t="s">
        <v>66</v>
      </c>
      <c r="G62" t="s">
        <v>48</v>
      </c>
      <c r="H62">
        <v>135000</v>
      </c>
      <c r="I62">
        <v>74193.899999999994</v>
      </c>
      <c r="J62">
        <v>16347.1355</v>
      </c>
      <c r="K62">
        <v>18134.853500000001</v>
      </c>
      <c r="L62">
        <v>56059.046499999997</v>
      </c>
      <c r="M62">
        <v>116865.1465</v>
      </c>
      <c r="N62" s="4">
        <v>0.86566775185185185</v>
      </c>
      <c r="O62">
        <v>0</v>
      </c>
      <c r="P62">
        <v>0</v>
      </c>
      <c r="Q62">
        <v>34.449999999999818</v>
      </c>
      <c r="R62">
        <v>-66.25</v>
      </c>
      <c r="S62">
        <v>1888.6935000000001</v>
      </c>
      <c r="T62">
        <v>55989.870999999992</v>
      </c>
      <c r="U62" t="s">
        <v>39</v>
      </c>
    </row>
    <row r="63" spans="1:21" x14ac:dyDescent="0.25">
      <c r="A63" t="s">
        <v>248</v>
      </c>
      <c r="B63" t="s">
        <v>249</v>
      </c>
      <c r="C63" t="s">
        <v>250</v>
      </c>
      <c r="D63" t="s">
        <v>251</v>
      </c>
      <c r="E63">
        <v>0</v>
      </c>
      <c r="F63" t="s">
        <v>252</v>
      </c>
      <c r="G63" t="s">
        <v>48</v>
      </c>
      <c r="H63">
        <v>5015</v>
      </c>
      <c r="I63">
        <v>3221.93</v>
      </c>
      <c r="J63">
        <v>344.5</v>
      </c>
      <c r="K63">
        <v>3074.43</v>
      </c>
      <c r="L63">
        <v>147.5</v>
      </c>
      <c r="M63">
        <v>1940.5700000000002</v>
      </c>
      <c r="N63" s="4">
        <v>0.38695314057826524</v>
      </c>
      <c r="O63">
        <v>0</v>
      </c>
      <c r="P63">
        <v>0</v>
      </c>
      <c r="Q63">
        <v>212</v>
      </c>
      <c r="R63">
        <v>185.5</v>
      </c>
      <c r="S63">
        <v>2098.5</v>
      </c>
      <c r="T63">
        <v>381.43</v>
      </c>
      <c r="U63" t="s">
        <v>43</v>
      </c>
    </row>
    <row r="64" spans="1:21" x14ac:dyDescent="0.25">
      <c r="A64" t="s">
        <v>253</v>
      </c>
      <c r="B64" t="s">
        <v>254</v>
      </c>
      <c r="C64" t="s">
        <v>255</v>
      </c>
      <c r="D64" t="s">
        <v>256</v>
      </c>
      <c r="E64">
        <v>0</v>
      </c>
      <c r="F64" t="s">
        <v>93</v>
      </c>
      <c r="G64" t="s">
        <v>48</v>
      </c>
      <c r="H64">
        <v>23390</v>
      </c>
      <c r="I64">
        <v>15100</v>
      </c>
      <c r="J64">
        <v>874.5</v>
      </c>
      <c r="K64">
        <v>1630.5907999999999</v>
      </c>
      <c r="L64">
        <v>13469.4092</v>
      </c>
      <c r="M64">
        <v>21759.409200000002</v>
      </c>
      <c r="N64" s="4">
        <v>0.93028684053014121</v>
      </c>
      <c r="O64">
        <v>0</v>
      </c>
      <c r="P64">
        <v>0</v>
      </c>
      <c r="Q64">
        <v>0</v>
      </c>
      <c r="R64">
        <v>-874.5</v>
      </c>
      <c r="S64">
        <v>-11577.117399999999</v>
      </c>
      <c r="T64">
        <v>26677.117399999999</v>
      </c>
      <c r="U64" t="s">
        <v>34</v>
      </c>
    </row>
    <row r="65" spans="1:21" x14ac:dyDescent="0.25">
      <c r="A65" t="s">
        <v>257</v>
      </c>
      <c r="B65" t="s">
        <v>258</v>
      </c>
      <c r="C65" t="s">
        <v>259</v>
      </c>
      <c r="D65">
        <v>0</v>
      </c>
      <c r="E65">
        <v>0</v>
      </c>
      <c r="F65" t="s">
        <v>93</v>
      </c>
      <c r="G65" t="s">
        <v>48</v>
      </c>
      <c r="H65">
        <v>4200</v>
      </c>
      <c r="I65">
        <v>5650</v>
      </c>
      <c r="J65">
        <v>1546.0012999999999</v>
      </c>
      <c r="K65">
        <v>3246.5284999999999</v>
      </c>
      <c r="L65">
        <v>2403.4715000000001</v>
      </c>
      <c r="M65">
        <v>953.47150000000011</v>
      </c>
      <c r="N65" s="4">
        <v>0.22701702380952382</v>
      </c>
      <c r="O65">
        <v>0</v>
      </c>
      <c r="P65">
        <v>0</v>
      </c>
      <c r="Q65">
        <v>-265</v>
      </c>
      <c r="R65">
        <v>-503.5</v>
      </c>
      <c r="S65">
        <v>-301.95960000000002</v>
      </c>
      <c r="T65">
        <v>5174.4583000000002</v>
      </c>
      <c r="U65" t="s">
        <v>34</v>
      </c>
    </row>
    <row r="66" spans="1:21" x14ac:dyDescent="0.25">
      <c r="A66" t="s">
        <v>260</v>
      </c>
      <c r="B66" t="s">
        <v>261</v>
      </c>
      <c r="C66" t="s">
        <v>262</v>
      </c>
      <c r="D66" t="s">
        <v>263</v>
      </c>
      <c r="E66">
        <v>0</v>
      </c>
      <c r="F66" t="s">
        <v>38</v>
      </c>
      <c r="G66" t="s">
        <v>48</v>
      </c>
      <c r="H66">
        <v>58500</v>
      </c>
      <c r="I66">
        <v>36065.620000000003</v>
      </c>
      <c r="J66">
        <v>15455.412399999997</v>
      </c>
      <c r="K66">
        <v>36595.183399999994</v>
      </c>
      <c r="L66">
        <v>-529.56339999999182</v>
      </c>
      <c r="M66">
        <v>21904.816600000006</v>
      </c>
      <c r="N66" s="4">
        <v>0.3744413094017095</v>
      </c>
      <c r="O66">
        <v>0</v>
      </c>
      <c r="P66">
        <v>0</v>
      </c>
      <c r="Q66">
        <v>2089.79</v>
      </c>
      <c r="R66">
        <v>159</v>
      </c>
      <c r="S66">
        <v>14196.2754</v>
      </c>
      <c r="T66">
        <v>4165.142200000002</v>
      </c>
      <c r="U66" t="s">
        <v>58</v>
      </c>
    </row>
    <row r="67" spans="1:21" x14ac:dyDescent="0.25">
      <c r="A67" t="s">
        <v>264</v>
      </c>
      <c r="B67" t="s">
        <v>174</v>
      </c>
      <c r="C67" t="s">
        <v>265</v>
      </c>
      <c r="D67">
        <v>0</v>
      </c>
      <c r="E67">
        <v>0</v>
      </c>
      <c r="F67" t="s">
        <v>38</v>
      </c>
      <c r="G67" t="s">
        <v>22</v>
      </c>
      <c r="H67">
        <v>63000</v>
      </c>
      <c r="I67">
        <v>41800.78</v>
      </c>
      <c r="J67">
        <v>1586.29</v>
      </c>
      <c r="K67">
        <v>40867.07</v>
      </c>
      <c r="L67">
        <v>933.70999999999913</v>
      </c>
      <c r="M67">
        <v>22132.93</v>
      </c>
      <c r="N67" s="4">
        <v>0.35131634920634919</v>
      </c>
      <c r="O67">
        <v>0</v>
      </c>
      <c r="P67">
        <v>0</v>
      </c>
      <c r="Q67">
        <v>2335.71</v>
      </c>
      <c r="R67">
        <v>848</v>
      </c>
      <c r="S67">
        <v>27440</v>
      </c>
      <c r="T67">
        <v>9590.7800000000007</v>
      </c>
      <c r="U67" t="s">
        <v>58</v>
      </c>
    </row>
    <row r="68" spans="1:21" x14ac:dyDescent="0.25">
      <c r="A68" t="s">
        <v>266</v>
      </c>
      <c r="B68" t="s">
        <v>267</v>
      </c>
      <c r="C68" t="s">
        <v>268</v>
      </c>
      <c r="D68" t="s">
        <v>269</v>
      </c>
      <c r="E68">
        <v>0</v>
      </c>
      <c r="F68" t="s">
        <v>28</v>
      </c>
      <c r="G68" t="s">
        <v>22</v>
      </c>
      <c r="H68">
        <v>88917.5</v>
      </c>
      <c r="I68">
        <v>39638.800000000003</v>
      </c>
      <c r="J68">
        <v>26935.158300000003</v>
      </c>
      <c r="K68">
        <v>38953.965700000001</v>
      </c>
      <c r="L68">
        <v>684.83430000000226</v>
      </c>
      <c r="M68">
        <v>49963.534299999999</v>
      </c>
      <c r="N68" s="4">
        <v>0.56190889644895547</v>
      </c>
      <c r="O68">
        <v>0</v>
      </c>
      <c r="P68">
        <v>0</v>
      </c>
      <c r="Q68">
        <v>-76.319999999999993</v>
      </c>
      <c r="R68">
        <v>0</v>
      </c>
      <c r="S68">
        <v>-19176.838299999999</v>
      </c>
      <c r="T68">
        <v>31956.800000000003</v>
      </c>
      <c r="U68" t="s">
        <v>58</v>
      </c>
    </row>
    <row r="69" spans="1:21" x14ac:dyDescent="0.25">
      <c r="A69" t="s">
        <v>270</v>
      </c>
      <c r="B69" t="s">
        <v>110</v>
      </c>
      <c r="C69" t="s">
        <v>179</v>
      </c>
      <c r="D69">
        <v>0</v>
      </c>
      <c r="E69">
        <v>0</v>
      </c>
      <c r="F69" t="s">
        <v>84</v>
      </c>
      <c r="G69" t="s">
        <v>48</v>
      </c>
      <c r="H69">
        <v>55000</v>
      </c>
      <c r="I69">
        <v>30000</v>
      </c>
      <c r="J69">
        <v>1</v>
      </c>
      <c r="K69">
        <v>30001</v>
      </c>
      <c r="L69">
        <v>-1</v>
      </c>
      <c r="M69">
        <v>24999</v>
      </c>
      <c r="N69" s="4">
        <v>0.45452727272727272</v>
      </c>
      <c r="O69">
        <v>0</v>
      </c>
      <c r="P69">
        <v>0</v>
      </c>
      <c r="Q69">
        <v>0</v>
      </c>
      <c r="R69">
        <v>0</v>
      </c>
      <c r="S69">
        <v>0</v>
      </c>
      <c r="T69">
        <v>30000</v>
      </c>
      <c r="U69" t="s">
        <v>34</v>
      </c>
    </row>
    <row r="70" spans="1:21" x14ac:dyDescent="0.25">
      <c r="A70" t="s">
        <v>271</v>
      </c>
      <c r="B70" t="s">
        <v>272</v>
      </c>
      <c r="C70" t="s">
        <v>273</v>
      </c>
      <c r="D70" t="s">
        <v>274</v>
      </c>
      <c r="E70">
        <v>0</v>
      </c>
      <c r="F70" t="s">
        <v>97</v>
      </c>
      <c r="G70" t="s">
        <v>48</v>
      </c>
      <c r="H70">
        <v>19875</v>
      </c>
      <c r="I70">
        <v>14000.07</v>
      </c>
      <c r="J70">
        <v>1749</v>
      </c>
      <c r="K70">
        <v>13099</v>
      </c>
      <c r="L70">
        <v>901.06999999999971</v>
      </c>
      <c r="M70">
        <v>6776</v>
      </c>
      <c r="N70" s="4">
        <v>0.34093081761006289</v>
      </c>
      <c r="O70">
        <v>0</v>
      </c>
      <c r="P70">
        <v>0</v>
      </c>
      <c r="Q70">
        <v>609.5</v>
      </c>
      <c r="R70">
        <v>768.5</v>
      </c>
      <c r="S70">
        <v>8375.369999999999</v>
      </c>
      <c r="T70">
        <v>2497.7000000000003</v>
      </c>
      <c r="U70" t="s">
        <v>34</v>
      </c>
    </row>
    <row r="71" spans="1:21" x14ac:dyDescent="0.25">
      <c r="A71" t="s">
        <v>275</v>
      </c>
      <c r="B71" t="s">
        <v>128</v>
      </c>
      <c r="C71" t="s">
        <v>276</v>
      </c>
      <c r="D71" t="s">
        <v>277</v>
      </c>
      <c r="E71">
        <v>45989</v>
      </c>
      <c r="F71" t="s">
        <v>28</v>
      </c>
      <c r="G71" t="s">
        <v>48</v>
      </c>
      <c r="H71">
        <v>22950</v>
      </c>
      <c r="I71">
        <v>15377.82</v>
      </c>
      <c r="J71">
        <v>6428.4187000000002</v>
      </c>
      <c r="K71">
        <v>10989.111199999999</v>
      </c>
      <c r="L71">
        <v>4388.7088000000003</v>
      </c>
      <c r="M71">
        <v>11960.888800000001</v>
      </c>
      <c r="N71" s="4">
        <v>0.52117162527233118</v>
      </c>
      <c r="O71">
        <v>0</v>
      </c>
      <c r="P71">
        <v>0</v>
      </c>
      <c r="Q71">
        <v>795</v>
      </c>
      <c r="R71">
        <v>145.75</v>
      </c>
      <c r="S71">
        <v>4577.8972000000003</v>
      </c>
      <c r="T71">
        <v>3430.7540999999997</v>
      </c>
      <c r="U71" t="s">
        <v>43</v>
      </c>
    </row>
    <row r="72" spans="1:21" x14ac:dyDescent="0.25">
      <c r="A72" t="s">
        <v>278</v>
      </c>
      <c r="B72" t="s">
        <v>279</v>
      </c>
      <c r="C72" t="s">
        <v>280</v>
      </c>
      <c r="D72">
        <v>0</v>
      </c>
      <c r="E72">
        <v>0</v>
      </c>
      <c r="F72" t="s">
        <v>66</v>
      </c>
      <c r="G72" t="s">
        <v>22</v>
      </c>
      <c r="H72">
        <v>69700</v>
      </c>
      <c r="I72">
        <v>45072.75</v>
      </c>
      <c r="J72">
        <v>5848.55</v>
      </c>
      <c r="K72">
        <v>5848.55</v>
      </c>
      <c r="L72">
        <v>39224.199999999997</v>
      </c>
      <c r="M72">
        <v>63851.45</v>
      </c>
      <c r="N72" s="4">
        <v>0.91608967001434716</v>
      </c>
      <c r="O72">
        <v>0</v>
      </c>
      <c r="P72">
        <v>0</v>
      </c>
      <c r="Q72">
        <v>1134.1999999999998</v>
      </c>
      <c r="R72">
        <v>4147.25</v>
      </c>
      <c r="S72">
        <v>10096</v>
      </c>
      <c r="T72">
        <v>23846.75</v>
      </c>
      <c r="U72" t="s">
        <v>39</v>
      </c>
    </row>
    <row r="73" spans="1:21" x14ac:dyDescent="0.25">
      <c r="A73" t="s">
        <v>281</v>
      </c>
      <c r="B73" t="s">
        <v>254</v>
      </c>
      <c r="C73" t="s">
        <v>282</v>
      </c>
      <c r="D73" t="s">
        <v>283</v>
      </c>
      <c r="E73">
        <v>46104</v>
      </c>
      <c r="F73" t="s">
        <v>84</v>
      </c>
      <c r="G73" t="s">
        <v>48</v>
      </c>
      <c r="H73">
        <v>24734</v>
      </c>
      <c r="I73">
        <v>14128.65</v>
      </c>
      <c r="J73">
        <v>9458.4723999999987</v>
      </c>
      <c r="K73">
        <v>14541.971899999999</v>
      </c>
      <c r="L73">
        <v>-413.321899999999</v>
      </c>
      <c r="M73">
        <v>10192.028100000001</v>
      </c>
      <c r="N73" s="4">
        <v>0.41206550092989414</v>
      </c>
      <c r="O73">
        <v>0</v>
      </c>
      <c r="P73">
        <v>0</v>
      </c>
      <c r="Q73">
        <v>227.90000000000009</v>
      </c>
      <c r="R73">
        <v>-431.94999999999982</v>
      </c>
      <c r="S73">
        <v>2997</v>
      </c>
      <c r="T73">
        <v>6397.2276000000002</v>
      </c>
      <c r="U73" t="s">
        <v>34</v>
      </c>
    </row>
    <row r="74" spans="1:21" x14ac:dyDescent="0.25">
      <c r="A74" t="s">
        <v>284</v>
      </c>
      <c r="B74" t="s">
        <v>285</v>
      </c>
      <c r="C74" t="s">
        <v>286</v>
      </c>
      <c r="D74" t="s">
        <v>287</v>
      </c>
      <c r="E74">
        <v>46080</v>
      </c>
      <c r="F74" t="s">
        <v>97</v>
      </c>
      <c r="G74" t="s">
        <v>22</v>
      </c>
      <c r="H74">
        <v>84000</v>
      </c>
      <c r="I74">
        <v>58730.22</v>
      </c>
      <c r="J74">
        <v>53324</v>
      </c>
      <c r="K74">
        <v>58424</v>
      </c>
      <c r="L74">
        <v>306.22000000000116</v>
      </c>
      <c r="M74">
        <v>25576</v>
      </c>
      <c r="N74" s="4">
        <v>0.30447619047619046</v>
      </c>
      <c r="O74">
        <v>0</v>
      </c>
      <c r="P74">
        <v>0</v>
      </c>
      <c r="Q74">
        <v>2491</v>
      </c>
      <c r="R74">
        <v>2915</v>
      </c>
      <c r="S74">
        <v>0</v>
      </c>
      <c r="T74">
        <v>0.22000000000116415</v>
      </c>
      <c r="U74" t="s">
        <v>34</v>
      </c>
    </row>
    <row r="75" spans="1:21" x14ac:dyDescent="0.25">
      <c r="A75" t="s">
        <v>288</v>
      </c>
      <c r="B75" t="s">
        <v>289</v>
      </c>
      <c r="C75" t="s">
        <v>290</v>
      </c>
      <c r="D75" t="s">
        <v>291</v>
      </c>
      <c r="E75">
        <v>0</v>
      </c>
      <c r="F75" t="s">
        <v>38</v>
      </c>
      <c r="G75" t="s">
        <v>22</v>
      </c>
      <c r="H75">
        <v>121500</v>
      </c>
      <c r="I75">
        <v>70035</v>
      </c>
      <c r="J75">
        <v>13442.521900000002</v>
      </c>
      <c r="K75">
        <v>64272.960700000003</v>
      </c>
      <c r="L75">
        <v>5762.0392999999967</v>
      </c>
      <c r="M75">
        <v>57227.039299999997</v>
      </c>
      <c r="N75" s="4">
        <v>0.47100443868312752</v>
      </c>
      <c r="O75">
        <v>0</v>
      </c>
      <c r="P75">
        <v>0</v>
      </c>
      <c r="Q75">
        <v>-433.01</v>
      </c>
      <c r="R75">
        <v>0</v>
      </c>
      <c r="S75">
        <v>-4513.2203</v>
      </c>
      <c r="T75">
        <v>61538.708400000003</v>
      </c>
      <c r="U75" t="s">
        <v>58</v>
      </c>
    </row>
    <row r="76" spans="1:21" x14ac:dyDescent="0.25">
      <c r="A76" t="s">
        <v>292</v>
      </c>
      <c r="B76" t="s">
        <v>293</v>
      </c>
      <c r="C76" t="s">
        <v>294</v>
      </c>
      <c r="D76" t="s">
        <v>295</v>
      </c>
      <c r="E76">
        <v>46009</v>
      </c>
      <c r="F76" t="s">
        <v>28</v>
      </c>
      <c r="G76" t="s">
        <v>48</v>
      </c>
      <c r="H76">
        <v>4570</v>
      </c>
      <c r="I76">
        <v>2955.39</v>
      </c>
      <c r="J76">
        <v>397.5</v>
      </c>
      <c r="K76">
        <v>2007.5</v>
      </c>
      <c r="L76">
        <v>947.88999999999987</v>
      </c>
      <c r="M76">
        <v>2562.5</v>
      </c>
      <c r="N76" s="4">
        <v>0.56072210065645511</v>
      </c>
      <c r="O76">
        <v>0</v>
      </c>
      <c r="P76">
        <v>0</v>
      </c>
      <c r="Q76">
        <v>265</v>
      </c>
      <c r="R76">
        <v>26.5</v>
      </c>
      <c r="S76">
        <v>1684</v>
      </c>
      <c r="T76">
        <v>582.39</v>
      </c>
      <c r="U76" t="s">
        <v>43</v>
      </c>
    </row>
    <row r="77" spans="1:21" x14ac:dyDescent="0.25">
      <c r="A77" t="s">
        <v>296</v>
      </c>
      <c r="B77" t="s">
        <v>189</v>
      </c>
      <c r="C77" t="s">
        <v>297</v>
      </c>
      <c r="D77" t="s">
        <v>298</v>
      </c>
      <c r="E77">
        <v>0</v>
      </c>
      <c r="F77" t="s">
        <v>97</v>
      </c>
      <c r="G77" t="s">
        <v>48</v>
      </c>
      <c r="H77">
        <v>14800</v>
      </c>
      <c r="I77">
        <v>10039.08</v>
      </c>
      <c r="J77">
        <v>5243.6102000000001</v>
      </c>
      <c r="K77">
        <v>10165.5638</v>
      </c>
      <c r="L77">
        <v>-126.48379999999997</v>
      </c>
      <c r="M77">
        <v>4634.4362000000001</v>
      </c>
      <c r="N77" s="4">
        <v>0.31313758108108108</v>
      </c>
      <c r="O77">
        <v>0</v>
      </c>
      <c r="P77">
        <v>0</v>
      </c>
      <c r="Q77">
        <v>238.5</v>
      </c>
      <c r="R77">
        <v>-13.25</v>
      </c>
      <c r="S77">
        <v>1939</v>
      </c>
      <c r="T77">
        <v>7143.6397999999999</v>
      </c>
      <c r="U77" t="s">
        <v>34</v>
      </c>
    </row>
    <row r="78" spans="1:21" x14ac:dyDescent="0.25">
      <c r="A78" t="s">
        <v>299</v>
      </c>
      <c r="B78" t="s">
        <v>300</v>
      </c>
      <c r="C78" t="s">
        <v>301</v>
      </c>
      <c r="D78" t="s">
        <v>302</v>
      </c>
      <c r="E78">
        <v>46077</v>
      </c>
      <c r="F78" t="s">
        <v>84</v>
      </c>
      <c r="G78" t="s">
        <v>48</v>
      </c>
      <c r="H78">
        <v>11550</v>
      </c>
      <c r="I78">
        <v>7192.62</v>
      </c>
      <c r="J78">
        <v>2841.3</v>
      </c>
      <c r="K78">
        <v>6047.8230999999996</v>
      </c>
      <c r="L78">
        <v>1144.7969000000003</v>
      </c>
      <c r="M78">
        <v>5502.1769000000004</v>
      </c>
      <c r="N78" s="4">
        <v>0.4763789523809524</v>
      </c>
      <c r="O78">
        <v>0</v>
      </c>
      <c r="P78">
        <v>0</v>
      </c>
      <c r="Q78">
        <v>445.2</v>
      </c>
      <c r="R78">
        <v>79.5</v>
      </c>
      <c r="S78">
        <v>3810</v>
      </c>
      <c r="T78">
        <v>1317.62</v>
      </c>
      <c r="U78" t="s">
        <v>34</v>
      </c>
    </row>
    <row r="79" spans="1:21" x14ac:dyDescent="0.25">
      <c r="A79" t="s">
        <v>303</v>
      </c>
      <c r="B79" t="s">
        <v>304</v>
      </c>
      <c r="C79" t="s">
        <v>305</v>
      </c>
      <c r="D79" t="s">
        <v>306</v>
      </c>
      <c r="E79">
        <v>46045</v>
      </c>
      <c r="F79" t="s">
        <v>84</v>
      </c>
      <c r="G79" t="s">
        <v>48</v>
      </c>
      <c r="H79">
        <v>16350</v>
      </c>
      <c r="I79">
        <v>9239</v>
      </c>
      <c r="J79">
        <v>0</v>
      </c>
      <c r="K79">
        <v>9240</v>
      </c>
      <c r="L79">
        <v>-1</v>
      </c>
      <c r="M79">
        <v>7110</v>
      </c>
      <c r="N79" s="4">
        <v>0.43486238532110094</v>
      </c>
      <c r="O79">
        <v>0</v>
      </c>
      <c r="P79">
        <v>0</v>
      </c>
      <c r="Q79">
        <v>795</v>
      </c>
      <c r="R79">
        <v>1060</v>
      </c>
      <c r="S79">
        <v>2415</v>
      </c>
      <c r="T79">
        <v>4969</v>
      </c>
      <c r="U79" t="s">
        <v>123</v>
      </c>
    </row>
    <row r="80" spans="1:21" x14ac:dyDescent="0.25">
      <c r="A80" t="s">
        <v>307</v>
      </c>
      <c r="B80" t="s">
        <v>308</v>
      </c>
      <c r="C80" t="s">
        <v>309</v>
      </c>
      <c r="D80" t="s">
        <v>310</v>
      </c>
      <c r="E80">
        <v>46028</v>
      </c>
      <c r="F80" t="s">
        <v>28</v>
      </c>
      <c r="G80" t="s">
        <v>48</v>
      </c>
      <c r="H80">
        <v>13000</v>
      </c>
      <c r="I80">
        <v>9366</v>
      </c>
      <c r="J80">
        <v>893.35559999999998</v>
      </c>
      <c r="K80">
        <v>6521.6900000000005</v>
      </c>
      <c r="L80">
        <v>2844.3099999999995</v>
      </c>
      <c r="M80">
        <v>6478.3099999999995</v>
      </c>
      <c r="N80" s="4">
        <v>0.49833153846153844</v>
      </c>
      <c r="O80">
        <v>0</v>
      </c>
      <c r="P80">
        <v>0</v>
      </c>
      <c r="Q80">
        <v>795</v>
      </c>
      <c r="R80">
        <v>-397.5</v>
      </c>
      <c r="S80">
        <v>-51.947800000000001</v>
      </c>
      <c r="T80">
        <v>8127.0922</v>
      </c>
      <c r="U80" t="s">
        <v>43</v>
      </c>
    </row>
    <row r="81" spans="1:21" x14ac:dyDescent="0.25">
      <c r="A81" t="s">
        <v>311</v>
      </c>
      <c r="B81" t="s">
        <v>312</v>
      </c>
      <c r="C81" t="s">
        <v>313</v>
      </c>
      <c r="D81">
        <v>0</v>
      </c>
      <c r="E81">
        <v>0</v>
      </c>
      <c r="F81" t="s">
        <v>116</v>
      </c>
      <c r="G81" t="s">
        <v>22</v>
      </c>
      <c r="H81">
        <v>53210</v>
      </c>
      <c r="I81">
        <v>27354.14</v>
      </c>
      <c r="J81">
        <v>0</v>
      </c>
      <c r="K81">
        <v>27354</v>
      </c>
      <c r="L81">
        <v>0.13999999999941792</v>
      </c>
      <c r="M81">
        <v>25856</v>
      </c>
      <c r="N81" s="4">
        <v>0.48592369855290357</v>
      </c>
      <c r="O81">
        <v>0</v>
      </c>
      <c r="P81">
        <v>0</v>
      </c>
      <c r="Q81">
        <v>1590</v>
      </c>
      <c r="R81">
        <v>2915</v>
      </c>
      <c r="S81">
        <v>4161</v>
      </c>
      <c r="T81">
        <v>18688.14</v>
      </c>
      <c r="U81" t="s">
        <v>314</v>
      </c>
    </row>
    <row r="82" spans="1:21" x14ac:dyDescent="0.25">
      <c r="A82" t="s">
        <v>315</v>
      </c>
      <c r="B82" t="s">
        <v>316</v>
      </c>
      <c r="C82" t="s">
        <v>317</v>
      </c>
      <c r="D82">
        <v>0</v>
      </c>
      <c r="E82">
        <v>0</v>
      </c>
      <c r="F82" t="s">
        <v>93</v>
      </c>
      <c r="G82" t="s">
        <v>48</v>
      </c>
      <c r="H82">
        <v>7900</v>
      </c>
      <c r="I82">
        <v>1325</v>
      </c>
      <c r="J82">
        <v>0</v>
      </c>
      <c r="K82">
        <v>1325</v>
      </c>
      <c r="L82">
        <v>0</v>
      </c>
      <c r="M82">
        <v>6575</v>
      </c>
      <c r="N82" s="4">
        <v>0.83227848101265822</v>
      </c>
      <c r="O82">
        <v>0</v>
      </c>
      <c r="P82">
        <v>0</v>
      </c>
      <c r="Q82">
        <v>0</v>
      </c>
      <c r="R82">
        <v>0</v>
      </c>
      <c r="S82">
        <v>0</v>
      </c>
      <c r="T82">
        <v>1325</v>
      </c>
      <c r="U82" t="s">
        <v>34</v>
      </c>
    </row>
    <row r="83" spans="1:21" x14ac:dyDescent="0.25">
      <c r="A83" t="s">
        <v>318</v>
      </c>
      <c r="B83" t="s">
        <v>319</v>
      </c>
      <c r="C83" t="s">
        <v>320</v>
      </c>
      <c r="D83">
        <v>0</v>
      </c>
      <c r="E83">
        <v>0</v>
      </c>
      <c r="F83" t="s">
        <v>97</v>
      </c>
      <c r="G83" t="s">
        <v>48</v>
      </c>
      <c r="H83">
        <v>2850</v>
      </c>
      <c r="I83">
        <v>1500</v>
      </c>
      <c r="J83">
        <v>1</v>
      </c>
      <c r="K83">
        <v>1501</v>
      </c>
      <c r="L83">
        <v>-1</v>
      </c>
      <c r="M83">
        <v>1349</v>
      </c>
      <c r="N83" s="4">
        <v>0.47333333333333333</v>
      </c>
      <c r="O83">
        <v>0</v>
      </c>
      <c r="P83">
        <v>0</v>
      </c>
      <c r="Q83">
        <v>0</v>
      </c>
      <c r="R83">
        <v>0</v>
      </c>
      <c r="S83">
        <v>0</v>
      </c>
      <c r="T83">
        <v>1500</v>
      </c>
      <c r="U83" t="s">
        <v>34</v>
      </c>
    </row>
    <row r="84" spans="1:21" x14ac:dyDescent="0.25">
      <c r="A84" t="s">
        <v>321</v>
      </c>
      <c r="B84" t="s">
        <v>322</v>
      </c>
      <c r="C84" t="s">
        <v>323</v>
      </c>
      <c r="D84" t="s">
        <v>324</v>
      </c>
      <c r="E84">
        <v>46003</v>
      </c>
      <c r="F84" t="s">
        <v>84</v>
      </c>
      <c r="G84" t="s">
        <v>48</v>
      </c>
      <c r="H84">
        <v>5450</v>
      </c>
      <c r="I84">
        <v>3460.75</v>
      </c>
      <c r="J84">
        <v>916.65880000000004</v>
      </c>
      <c r="K84">
        <v>3099.6860000000001</v>
      </c>
      <c r="L84">
        <v>361.06399999999985</v>
      </c>
      <c r="M84">
        <v>2350.3139999999999</v>
      </c>
      <c r="N84" s="4">
        <v>0.43125027522935777</v>
      </c>
      <c r="O84">
        <v>0</v>
      </c>
      <c r="P84">
        <v>0</v>
      </c>
      <c r="Q84">
        <v>-21.200000000000045</v>
      </c>
      <c r="R84">
        <v>-13.25</v>
      </c>
      <c r="S84">
        <v>2257.5</v>
      </c>
      <c r="T84">
        <v>321.0412</v>
      </c>
      <c r="U84" t="s">
        <v>39</v>
      </c>
    </row>
    <row r="85" spans="1:21" x14ac:dyDescent="0.25">
      <c r="A85" t="s">
        <v>325</v>
      </c>
      <c r="B85" t="s">
        <v>86</v>
      </c>
      <c r="C85" t="s">
        <v>326</v>
      </c>
      <c r="D85" t="s">
        <v>327</v>
      </c>
      <c r="E85">
        <v>0</v>
      </c>
      <c r="F85" t="s">
        <v>38</v>
      </c>
      <c r="G85" t="s">
        <v>22</v>
      </c>
      <c r="H85">
        <v>32865</v>
      </c>
      <c r="I85">
        <v>16003.8</v>
      </c>
      <c r="J85">
        <v>3076.3993999999993</v>
      </c>
      <c r="K85">
        <v>15916.599399999999</v>
      </c>
      <c r="L85">
        <v>87.200600000000122</v>
      </c>
      <c r="M85">
        <v>16948.400600000001</v>
      </c>
      <c r="N85" s="4">
        <v>0.51569756884223339</v>
      </c>
      <c r="O85">
        <v>0</v>
      </c>
      <c r="P85">
        <v>0</v>
      </c>
      <c r="Q85">
        <v>0</v>
      </c>
      <c r="R85">
        <v>0</v>
      </c>
      <c r="S85">
        <v>-988.37869999999998</v>
      </c>
      <c r="T85">
        <v>13915.7793</v>
      </c>
      <c r="U85" t="s">
        <v>58</v>
      </c>
    </row>
    <row r="86" spans="1:21" x14ac:dyDescent="0.25">
      <c r="A86" t="s">
        <v>328</v>
      </c>
      <c r="B86" t="s">
        <v>82</v>
      </c>
      <c r="C86" t="s">
        <v>329</v>
      </c>
      <c r="D86">
        <v>0</v>
      </c>
      <c r="E86">
        <v>0</v>
      </c>
      <c r="F86" t="s">
        <v>93</v>
      </c>
      <c r="G86" t="s">
        <v>48</v>
      </c>
      <c r="H86">
        <v>14820</v>
      </c>
      <c r="I86">
        <v>4134</v>
      </c>
      <c r="J86">
        <v>1</v>
      </c>
      <c r="K86">
        <v>4135</v>
      </c>
      <c r="L86">
        <v>-1</v>
      </c>
      <c r="M86">
        <v>10685</v>
      </c>
      <c r="N86" s="4">
        <v>0.72098515519568152</v>
      </c>
      <c r="O86">
        <v>0</v>
      </c>
      <c r="P86">
        <v>0</v>
      </c>
      <c r="Q86">
        <v>0</v>
      </c>
      <c r="R86">
        <v>0</v>
      </c>
      <c r="S86">
        <v>0</v>
      </c>
      <c r="T86">
        <v>4134</v>
      </c>
      <c r="U86" t="s">
        <v>43</v>
      </c>
    </row>
    <row r="87" spans="1:21" x14ac:dyDescent="0.25">
      <c r="A87" t="s">
        <v>330</v>
      </c>
      <c r="B87" t="s">
        <v>331</v>
      </c>
      <c r="C87" t="s">
        <v>332</v>
      </c>
      <c r="D87" t="s">
        <v>333</v>
      </c>
      <c r="E87">
        <v>46078</v>
      </c>
      <c r="F87" t="s">
        <v>66</v>
      </c>
      <c r="G87" t="s">
        <v>22</v>
      </c>
      <c r="H87">
        <v>79498.9921875</v>
      </c>
      <c r="I87">
        <v>53810.12999999999</v>
      </c>
      <c r="J87">
        <v>0</v>
      </c>
      <c r="K87">
        <v>0</v>
      </c>
      <c r="L87">
        <v>53810.12999999999</v>
      </c>
      <c r="M87">
        <v>79498.9921875</v>
      </c>
      <c r="N87" s="4">
        <v>1</v>
      </c>
      <c r="O87">
        <v>0</v>
      </c>
      <c r="P87">
        <v>0</v>
      </c>
      <c r="Q87">
        <v>1060</v>
      </c>
      <c r="R87">
        <v>2968</v>
      </c>
      <c r="S87">
        <v>21558</v>
      </c>
      <c r="T87">
        <v>28224.13</v>
      </c>
      <c r="U87" t="s">
        <v>314</v>
      </c>
    </row>
    <row r="88" spans="1:21" x14ac:dyDescent="0.25">
      <c r="A88" t="s">
        <v>334</v>
      </c>
      <c r="B88" t="s">
        <v>335</v>
      </c>
      <c r="C88" t="s">
        <v>336</v>
      </c>
      <c r="D88">
        <v>0</v>
      </c>
      <c r="E88">
        <v>0</v>
      </c>
      <c r="F88" t="s">
        <v>66</v>
      </c>
      <c r="G88" t="s">
        <v>48</v>
      </c>
      <c r="H88">
        <v>13710</v>
      </c>
      <c r="I88">
        <v>8883.2799999999988</v>
      </c>
      <c r="J88">
        <v>732.99</v>
      </c>
      <c r="K88">
        <v>9615.99</v>
      </c>
      <c r="L88">
        <v>-732.71000000000095</v>
      </c>
      <c r="M88">
        <v>4094.01</v>
      </c>
      <c r="N88" s="4">
        <v>0.29861487964989059</v>
      </c>
      <c r="O88">
        <v>0</v>
      </c>
      <c r="P88">
        <v>0</v>
      </c>
      <c r="Q88">
        <v>88.509999999999991</v>
      </c>
      <c r="R88">
        <v>-79.5</v>
      </c>
      <c r="S88">
        <v>2113</v>
      </c>
      <c r="T88">
        <v>6028.28</v>
      </c>
      <c r="U88" t="s">
        <v>58</v>
      </c>
    </row>
    <row r="89" spans="1:21" x14ac:dyDescent="0.25">
      <c r="A89" t="s">
        <v>337</v>
      </c>
      <c r="B89" t="s">
        <v>170</v>
      </c>
      <c r="C89" t="s">
        <v>338</v>
      </c>
      <c r="D89" t="s">
        <v>339</v>
      </c>
      <c r="E89">
        <v>0</v>
      </c>
      <c r="F89" t="s">
        <v>97</v>
      </c>
      <c r="G89" t="s">
        <v>22</v>
      </c>
      <c r="H89">
        <v>7830</v>
      </c>
      <c r="I89">
        <v>5206</v>
      </c>
      <c r="J89">
        <v>689</v>
      </c>
      <c r="K89">
        <v>4950.2300999999998</v>
      </c>
      <c r="L89">
        <v>255.76990000000023</v>
      </c>
      <c r="M89">
        <v>2879.7699000000002</v>
      </c>
      <c r="N89" s="4">
        <v>0.36778670498084293</v>
      </c>
      <c r="O89">
        <v>0</v>
      </c>
      <c r="P89">
        <v>0</v>
      </c>
      <c r="Q89">
        <v>450.5</v>
      </c>
      <c r="R89">
        <v>106</v>
      </c>
      <c r="S89">
        <v>610.5</v>
      </c>
      <c r="T89">
        <v>3350</v>
      </c>
      <c r="U89" t="s">
        <v>34</v>
      </c>
    </row>
    <row r="90" spans="1:21" x14ac:dyDescent="0.25">
      <c r="A90" t="s">
        <v>340</v>
      </c>
      <c r="B90" t="s">
        <v>254</v>
      </c>
      <c r="C90" t="s">
        <v>341</v>
      </c>
      <c r="D90">
        <v>0</v>
      </c>
      <c r="E90">
        <v>0</v>
      </c>
      <c r="F90" t="s">
        <v>93</v>
      </c>
      <c r="G90" t="s">
        <v>48</v>
      </c>
      <c r="H90">
        <v>6500</v>
      </c>
      <c r="I90">
        <v>4200</v>
      </c>
      <c r="J90">
        <v>1</v>
      </c>
      <c r="K90">
        <v>4199</v>
      </c>
      <c r="L90">
        <v>1</v>
      </c>
      <c r="M90">
        <v>2301</v>
      </c>
      <c r="N90" s="4">
        <v>0.35399999999999998</v>
      </c>
      <c r="O90">
        <v>0</v>
      </c>
      <c r="P90">
        <v>0</v>
      </c>
      <c r="Q90">
        <v>0</v>
      </c>
      <c r="R90">
        <v>0</v>
      </c>
      <c r="S90">
        <v>0</v>
      </c>
      <c r="T90">
        <v>4200</v>
      </c>
      <c r="U90" t="s">
        <v>43</v>
      </c>
    </row>
    <row r="91" spans="1:21" x14ac:dyDescent="0.25">
      <c r="A91" t="s">
        <v>342</v>
      </c>
      <c r="B91" t="s">
        <v>343</v>
      </c>
      <c r="C91" t="s">
        <v>344</v>
      </c>
      <c r="D91" t="s">
        <v>345</v>
      </c>
      <c r="E91">
        <v>0</v>
      </c>
      <c r="F91" t="s">
        <v>38</v>
      </c>
      <c r="G91" t="s">
        <v>48</v>
      </c>
      <c r="H91">
        <v>20600</v>
      </c>
      <c r="I91">
        <v>13294</v>
      </c>
      <c r="J91">
        <v>1</v>
      </c>
      <c r="K91">
        <v>13545</v>
      </c>
      <c r="L91">
        <v>-251</v>
      </c>
      <c r="M91">
        <v>7055</v>
      </c>
      <c r="N91" s="4">
        <v>0.34247572815533983</v>
      </c>
      <c r="O91">
        <v>0</v>
      </c>
      <c r="P91">
        <v>0</v>
      </c>
      <c r="Q91">
        <v>0</v>
      </c>
      <c r="R91">
        <v>0</v>
      </c>
      <c r="S91">
        <v>13294</v>
      </c>
      <c r="T91">
        <v>0</v>
      </c>
      <c r="U91" t="s">
        <v>34</v>
      </c>
    </row>
    <row r="160" spans="3:3" x14ac:dyDescent="0.25">
      <c r="C160" t="s">
        <v>346</v>
      </c>
    </row>
  </sheetData>
  <autoFilter ref="A1:V1" xr:uid="{560FC26E-7737-4682-A89D-34009A5B3F98}">
    <sortState xmlns:xlrd2="http://schemas.microsoft.com/office/spreadsheetml/2017/richdata2" ref="A2:V91">
      <sortCondition ref="A1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A8D6-603D-4824-95F3-ECE0271ECF7B}">
  <dimension ref="A1:H63"/>
  <sheetViews>
    <sheetView workbookViewId="0">
      <selection sqref="A1:H63"/>
    </sheetView>
  </sheetViews>
  <sheetFormatPr baseColWidth="10" defaultRowHeight="15" x14ac:dyDescent="0.25"/>
  <cols>
    <col min="8" max="8" width="12" bestFit="1" customWidth="1"/>
  </cols>
  <sheetData>
    <row r="1" spans="1:8" x14ac:dyDescent="0.25">
      <c r="A1" s="1" t="s">
        <v>347</v>
      </c>
      <c r="B1" s="1" t="s">
        <v>348</v>
      </c>
      <c r="C1" s="1" t="s">
        <v>349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354</v>
      </c>
    </row>
    <row r="2" spans="1:8" x14ac:dyDescent="0.25">
      <c r="A2" t="s">
        <v>355</v>
      </c>
      <c r="B2">
        <f>YEAR(Wochendaten[[#This Row],[Datum]])</f>
        <v>2024</v>
      </c>
      <c r="C2">
        <f>MONTH(Wochendaten[[#This Row],[Datum]])</f>
        <v>1</v>
      </c>
      <c r="D2">
        <v>10</v>
      </c>
      <c r="E2">
        <v>31</v>
      </c>
      <c r="F2">
        <v>41</v>
      </c>
      <c r="G2">
        <f t="shared" ref="G2:G63" si="0">SUM(D2:F2)</f>
        <v>82</v>
      </c>
      <c r="H2" s="2">
        <v>14738000</v>
      </c>
    </row>
    <row r="3" spans="1:8" x14ac:dyDescent="0.25">
      <c r="A3" t="s">
        <v>356</v>
      </c>
      <c r="B3">
        <f>YEAR(Wochendaten[[#This Row],[Datum]])</f>
        <v>2024</v>
      </c>
      <c r="C3">
        <f>MONTH(Wochendaten[[#This Row],[Datum]])</f>
        <v>1</v>
      </c>
      <c r="D3">
        <v>11</v>
      </c>
      <c r="E3">
        <v>29</v>
      </c>
      <c r="F3">
        <v>42</v>
      </c>
      <c r="G3">
        <f t="shared" si="0"/>
        <v>82</v>
      </c>
      <c r="H3" s="2">
        <v>14940000</v>
      </c>
    </row>
    <row r="4" spans="1:8" x14ac:dyDescent="0.25">
      <c r="A4" t="s">
        <v>357</v>
      </c>
      <c r="B4">
        <f>YEAR(Wochendaten[[#This Row],[Datum]])</f>
        <v>2024</v>
      </c>
      <c r="C4">
        <f>MONTH(Wochendaten[[#This Row],[Datum]])</f>
        <v>1</v>
      </c>
      <c r="D4">
        <v>11</v>
      </c>
      <c r="E4">
        <v>30</v>
      </c>
      <c r="F4">
        <v>38</v>
      </c>
      <c r="G4">
        <f t="shared" si="0"/>
        <v>79</v>
      </c>
      <c r="H4" s="2">
        <v>14952000</v>
      </c>
    </row>
    <row r="5" spans="1:8" x14ac:dyDescent="0.25">
      <c r="A5" t="s">
        <v>358</v>
      </c>
      <c r="B5">
        <f>YEAR(Wochendaten[[#This Row],[Datum]])</f>
        <v>2024</v>
      </c>
      <c r="C5">
        <f>MONTH(Wochendaten[[#This Row],[Datum]])</f>
        <v>1</v>
      </c>
      <c r="D5">
        <v>11</v>
      </c>
      <c r="E5">
        <v>30</v>
      </c>
      <c r="F5">
        <v>38</v>
      </c>
      <c r="G5">
        <f t="shared" si="0"/>
        <v>79</v>
      </c>
      <c r="H5" s="2">
        <v>14930000</v>
      </c>
    </row>
    <row r="6" spans="1:8" x14ac:dyDescent="0.25">
      <c r="A6" t="s">
        <v>359</v>
      </c>
      <c r="B6">
        <f>YEAR(Wochendaten[[#This Row],[Datum]])</f>
        <v>2024</v>
      </c>
      <c r="C6">
        <f>MONTH(Wochendaten[[#This Row],[Datum]])</f>
        <v>1</v>
      </c>
      <c r="D6">
        <v>11</v>
      </c>
      <c r="E6">
        <v>31</v>
      </c>
      <c r="F6">
        <v>38</v>
      </c>
      <c r="G6">
        <f t="shared" si="0"/>
        <v>80</v>
      </c>
      <c r="H6" s="2">
        <v>14745000</v>
      </c>
    </row>
    <row r="7" spans="1:8" x14ac:dyDescent="0.25">
      <c r="A7" t="s">
        <v>360</v>
      </c>
      <c r="B7">
        <f>YEAR(Wochendaten[[#This Row],[Datum]])</f>
        <v>2024</v>
      </c>
      <c r="C7">
        <f>MONTH(Wochendaten[[#This Row],[Datum]])</f>
        <v>2</v>
      </c>
      <c r="D7">
        <v>11</v>
      </c>
      <c r="E7">
        <v>33</v>
      </c>
      <c r="F7">
        <v>39</v>
      </c>
      <c r="G7">
        <f t="shared" si="0"/>
        <v>83</v>
      </c>
      <c r="H7" s="2">
        <v>15094000</v>
      </c>
    </row>
    <row r="8" spans="1:8" x14ac:dyDescent="0.25">
      <c r="A8" t="s">
        <v>361</v>
      </c>
      <c r="B8">
        <f>YEAR(Wochendaten[[#This Row],[Datum]])</f>
        <v>2024</v>
      </c>
      <c r="C8">
        <f>MONTH(Wochendaten[[#This Row],[Datum]])</f>
        <v>2</v>
      </c>
      <c r="D8">
        <v>11</v>
      </c>
      <c r="E8">
        <v>36</v>
      </c>
      <c r="F8">
        <v>40</v>
      </c>
      <c r="G8">
        <f t="shared" si="0"/>
        <v>87</v>
      </c>
      <c r="H8" s="2">
        <v>15496000</v>
      </c>
    </row>
    <row r="9" spans="1:8" x14ac:dyDescent="0.25">
      <c r="A9" t="s">
        <v>362</v>
      </c>
      <c r="B9">
        <f>YEAR(Wochendaten[[#This Row],[Datum]])</f>
        <v>2024</v>
      </c>
      <c r="C9">
        <f>MONTH(Wochendaten[[#This Row],[Datum]])</f>
        <v>2</v>
      </c>
      <c r="D9">
        <v>11</v>
      </c>
      <c r="E9">
        <v>37</v>
      </c>
      <c r="F9">
        <v>41</v>
      </c>
      <c r="G9">
        <f t="shared" si="0"/>
        <v>89</v>
      </c>
      <c r="H9" s="2">
        <v>15330000</v>
      </c>
    </row>
    <row r="10" spans="1:8" x14ac:dyDescent="0.25">
      <c r="A10" t="s">
        <v>363</v>
      </c>
      <c r="B10">
        <f>YEAR(Wochendaten[[#This Row],[Datum]])</f>
        <v>2024</v>
      </c>
      <c r="C10">
        <f>MONTH(Wochendaten[[#This Row],[Datum]])</f>
        <v>2</v>
      </c>
      <c r="D10">
        <v>11</v>
      </c>
      <c r="E10">
        <v>38</v>
      </c>
      <c r="F10">
        <v>41</v>
      </c>
      <c r="G10">
        <f t="shared" si="0"/>
        <v>90</v>
      </c>
      <c r="H10" s="2">
        <v>15400100</v>
      </c>
    </row>
    <row r="11" spans="1:8" x14ac:dyDescent="0.25">
      <c r="A11" t="s">
        <v>364</v>
      </c>
      <c r="B11">
        <f>YEAR(Wochendaten[[#This Row],[Datum]])</f>
        <v>2024</v>
      </c>
      <c r="C11">
        <f>MONTH(Wochendaten[[#This Row],[Datum]])</f>
        <v>3</v>
      </c>
      <c r="D11">
        <v>12</v>
      </c>
      <c r="E11">
        <v>38</v>
      </c>
      <c r="F11">
        <v>41</v>
      </c>
      <c r="G11">
        <f t="shared" si="0"/>
        <v>91</v>
      </c>
      <c r="H11" s="2">
        <v>15499000</v>
      </c>
    </row>
    <row r="12" spans="1:8" x14ac:dyDescent="0.25">
      <c r="A12" t="s">
        <v>365</v>
      </c>
      <c r="B12">
        <f>YEAR(Wochendaten[[#This Row],[Datum]])</f>
        <v>2024</v>
      </c>
      <c r="C12">
        <f>MONTH(Wochendaten[[#This Row],[Datum]])</f>
        <v>3</v>
      </c>
      <c r="D12">
        <v>12</v>
      </c>
      <c r="E12">
        <v>36</v>
      </c>
      <c r="F12">
        <v>38</v>
      </c>
      <c r="G12">
        <f t="shared" si="0"/>
        <v>86</v>
      </c>
      <c r="H12" s="2">
        <v>15734000</v>
      </c>
    </row>
    <row r="13" spans="1:8" x14ac:dyDescent="0.25">
      <c r="A13" t="s">
        <v>366</v>
      </c>
      <c r="B13">
        <f>YEAR(Wochendaten[[#This Row],[Datum]])</f>
        <v>2024</v>
      </c>
      <c r="C13">
        <f>MONTH(Wochendaten[[#This Row],[Datum]])</f>
        <v>3</v>
      </c>
      <c r="D13">
        <v>12</v>
      </c>
      <c r="E13">
        <v>37</v>
      </c>
      <c r="F13">
        <v>40</v>
      </c>
      <c r="G13">
        <f t="shared" si="0"/>
        <v>89</v>
      </c>
      <c r="H13" s="2">
        <v>15856000</v>
      </c>
    </row>
    <row r="14" spans="1:8" x14ac:dyDescent="0.25">
      <c r="A14" t="s">
        <v>367</v>
      </c>
      <c r="B14">
        <f>YEAR(Wochendaten[[#This Row],[Datum]])</f>
        <v>2024</v>
      </c>
      <c r="C14">
        <f>MONTH(Wochendaten[[#This Row],[Datum]])</f>
        <v>3</v>
      </c>
      <c r="D14">
        <v>12</v>
      </c>
      <c r="E14">
        <v>36</v>
      </c>
      <c r="F14">
        <v>37</v>
      </c>
      <c r="G14">
        <f t="shared" si="0"/>
        <v>85</v>
      </c>
      <c r="H14" s="2">
        <v>14995000</v>
      </c>
    </row>
    <row r="15" spans="1:8" x14ac:dyDescent="0.25">
      <c r="A15" t="s">
        <v>368</v>
      </c>
      <c r="B15">
        <f>YEAR(Wochendaten[[#This Row],[Datum]])</f>
        <v>2024</v>
      </c>
      <c r="C15">
        <f>MONTH(Wochendaten[[#This Row],[Datum]])</f>
        <v>4</v>
      </c>
      <c r="D15">
        <v>13</v>
      </c>
      <c r="E15">
        <v>38</v>
      </c>
      <c r="F15">
        <v>45</v>
      </c>
      <c r="G15">
        <f t="shared" si="0"/>
        <v>96</v>
      </c>
      <c r="H15" s="2">
        <v>15760000</v>
      </c>
    </row>
    <row r="16" spans="1:8" x14ac:dyDescent="0.25">
      <c r="A16" t="s">
        <v>369</v>
      </c>
      <c r="B16">
        <f>YEAR(Wochendaten[[#This Row],[Datum]])</f>
        <v>2024</v>
      </c>
      <c r="C16">
        <f>MONTH(Wochendaten[[#This Row],[Datum]])</f>
        <v>5</v>
      </c>
      <c r="D16">
        <v>13</v>
      </c>
      <c r="E16">
        <v>40</v>
      </c>
      <c r="F16">
        <v>46</v>
      </c>
      <c r="G16">
        <f t="shared" si="0"/>
        <v>99</v>
      </c>
      <c r="H16" s="2">
        <v>15909000</v>
      </c>
    </row>
    <row r="17" spans="1:8" x14ac:dyDescent="0.25">
      <c r="A17" t="s">
        <v>370</v>
      </c>
      <c r="B17">
        <f>YEAR(Wochendaten[[#This Row],[Datum]])</f>
        <v>2024</v>
      </c>
      <c r="C17">
        <f>MONTH(Wochendaten[[#This Row],[Datum]])</f>
        <v>5</v>
      </c>
      <c r="D17">
        <v>13</v>
      </c>
      <c r="E17">
        <v>40</v>
      </c>
      <c r="F17">
        <v>46</v>
      </c>
      <c r="G17">
        <f t="shared" si="0"/>
        <v>99</v>
      </c>
      <c r="H17" s="2">
        <v>15797000</v>
      </c>
    </row>
    <row r="18" spans="1:8" x14ac:dyDescent="0.25">
      <c r="A18" t="s">
        <v>371</v>
      </c>
      <c r="B18">
        <f>YEAR(Wochendaten[[#This Row],[Datum]])</f>
        <v>2024</v>
      </c>
      <c r="C18">
        <f>MONTH(Wochendaten[[#This Row],[Datum]])</f>
        <v>6</v>
      </c>
      <c r="D18">
        <v>13</v>
      </c>
      <c r="E18">
        <v>34</v>
      </c>
      <c r="F18">
        <v>49</v>
      </c>
      <c r="G18">
        <f t="shared" si="0"/>
        <v>96</v>
      </c>
      <c r="H18" s="2">
        <v>15476000</v>
      </c>
    </row>
    <row r="19" spans="1:8" x14ac:dyDescent="0.25">
      <c r="A19" t="s">
        <v>372</v>
      </c>
      <c r="B19">
        <f>YEAR(Wochendaten[[#This Row],[Datum]])</f>
        <v>2024</v>
      </c>
      <c r="C19">
        <f>MONTH(Wochendaten[[#This Row],[Datum]])</f>
        <v>6</v>
      </c>
      <c r="D19">
        <v>13</v>
      </c>
      <c r="E19">
        <v>34</v>
      </c>
      <c r="F19">
        <v>49</v>
      </c>
      <c r="G19">
        <f t="shared" si="0"/>
        <v>96</v>
      </c>
      <c r="H19" s="2">
        <v>15484000</v>
      </c>
    </row>
    <row r="20" spans="1:8" x14ac:dyDescent="0.25">
      <c r="A20" t="s">
        <v>373</v>
      </c>
      <c r="B20">
        <f>YEAR(Wochendaten[[#This Row],[Datum]])</f>
        <v>2024</v>
      </c>
      <c r="C20">
        <f>MONTH(Wochendaten[[#This Row],[Datum]])</f>
        <v>6</v>
      </c>
      <c r="D20">
        <v>13</v>
      </c>
      <c r="E20">
        <v>37</v>
      </c>
      <c r="F20">
        <v>51</v>
      </c>
      <c r="G20">
        <f t="shared" si="0"/>
        <v>101</v>
      </c>
      <c r="H20" s="2">
        <v>15589000</v>
      </c>
    </row>
    <row r="21" spans="1:8" x14ac:dyDescent="0.25">
      <c r="A21" t="s">
        <v>374</v>
      </c>
      <c r="B21">
        <f>YEAR(Wochendaten[[#This Row],[Datum]])</f>
        <v>2024</v>
      </c>
      <c r="C21">
        <f>MONTH(Wochendaten[[#This Row],[Datum]])</f>
        <v>7</v>
      </c>
      <c r="D21">
        <v>13</v>
      </c>
      <c r="E21">
        <v>34</v>
      </c>
      <c r="F21">
        <v>47</v>
      </c>
      <c r="G21">
        <f t="shared" si="0"/>
        <v>94</v>
      </c>
      <c r="H21" s="2">
        <v>15035000</v>
      </c>
    </row>
    <row r="22" spans="1:8" x14ac:dyDescent="0.25">
      <c r="A22" t="s">
        <v>375</v>
      </c>
      <c r="B22">
        <f>YEAR(Wochendaten[[#This Row],[Datum]])</f>
        <v>2024</v>
      </c>
      <c r="C22">
        <f>MONTH(Wochendaten[[#This Row],[Datum]])</f>
        <v>7</v>
      </c>
      <c r="D22">
        <v>13</v>
      </c>
      <c r="E22">
        <v>33</v>
      </c>
      <c r="F22">
        <v>48</v>
      </c>
      <c r="G22">
        <f t="shared" si="0"/>
        <v>94</v>
      </c>
      <c r="H22" s="2">
        <v>14994000</v>
      </c>
    </row>
    <row r="23" spans="1:8" x14ac:dyDescent="0.25">
      <c r="A23" t="s">
        <v>376</v>
      </c>
      <c r="B23">
        <f>YEAR(Wochendaten[[#This Row],[Datum]])</f>
        <v>2024</v>
      </c>
      <c r="C23">
        <f>MONTH(Wochendaten[[#This Row],[Datum]])</f>
        <v>7</v>
      </c>
      <c r="D23">
        <v>13</v>
      </c>
      <c r="E23">
        <v>35</v>
      </c>
      <c r="F23">
        <v>49</v>
      </c>
      <c r="G23">
        <f t="shared" si="0"/>
        <v>97</v>
      </c>
      <c r="H23" s="2">
        <v>15108000</v>
      </c>
    </row>
    <row r="24" spans="1:8" x14ac:dyDescent="0.25">
      <c r="A24" t="s">
        <v>377</v>
      </c>
      <c r="B24">
        <f>YEAR(Wochendaten[[#This Row],[Datum]])</f>
        <v>2024</v>
      </c>
      <c r="C24">
        <f>MONTH(Wochendaten[[#This Row],[Datum]])</f>
        <v>7</v>
      </c>
      <c r="D24">
        <v>13</v>
      </c>
      <c r="E24">
        <v>35</v>
      </c>
      <c r="F24">
        <v>50</v>
      </c>
      <c r="G24">
        <f t="shared" si="0"/>
        <v>98</v>
      </c>
      <c r="H24" s="2">
        <v>15121000</v>
      </c>
    </row>
    <row r="25" spans="1:8" x14ac:dyDescent="0.25">
      <c r="A25" t="s">
        <v>378</v>
      </c>
      <c r="B25">
        <f>YEAR(Wochendaten[[#This Row],[Datum]])</f>
        <v>2024</v>
      </c>
      <c r="C25">
        <f>MONTH(Wochendaten[[#This Row],[Datum]])</f>
        <v>7</v>
      </c>
      <c r="D25">
        <v>13</v>
      </c>
      <c r="E25">
        <v>35</v>
      </c>
      <c r="F25">
        <v>56</v>
      </c>
      <c r="G25">
        <f t="shared" si="0"/>
        <v>104</v>
      </c>
      <c r="H25" s="2">
        <v>15247000</v>
      </c>
    </row>
    <row r="26" spans="1:8" x14ac:dyDescent="0.25">
      <c r="A26" t="s">
        <v>379</v>
      </c>
      <c r="B26">
        <f>YEAR(Wochendaten[[#This Row],[Datum]])</f>
        <v>2024</v>
      </c>
      <c r="C26">
        <f>MONTH(Wochendaten[[#This Row],[Datum]])</f>
        <v>8</v>
      </c>
      <c r="D26">
        <v>13</v>
      </c>
      <c r="E26">
        <v>36</v>
      </c>
      <c r="F26">
        <v>56</v>
      </c>
      <c r="G26">
        <f t="shared" si="0"/>
        <v>105</v>
      </c>
      <c r="H26" s="2">
        <v>15265000</v>
      </c>
    </row>
    <row r="27" spans="1:8" x14ac:dyDescent="0.25">
      <c r="A27" t="s">
        <v>380</v>
      </c>
      <c r="B27">
        <f>YEAR(Wochendaten[[#This Row],[Datum]])</f>
        <v>2024</v>
      </c>
      <c r="C27">
        <f>MONTH(Wochendaten[[#This Row],[Datum]])</f>
        <v>8</v>
      </c>
      <c r="D27">
        <v>13</v>
      </c>
      <c r="E27">
        <v>36</v>
      </c>
      <c r="F27">
        <v>51</v>
      </c>
      <c r="G27">
        <f t="shared" si="0"/>
        <v>100</v>
      </c>
      <c r="H27" s="2">
        <v>15358000</v>
      </c>
    </row>
    <row r="28" spans="1:8" x14ac:dyDescent="0.25">
      <c r="A28" t="s">
        <v>381</v>
      </c>
      <c r="B28">
        <f>YEAR(Wochendaten[[#This Row],[Datum]])</f>
        <v>2024</v>
      </c>
      <c r="C28">
        <f>MONTH(Wochendaten[[#This Row],[Datum]])</f>
        <v>8</v>
      </c>
      <c r="D28">
        <v>13</v>
      </c>
      <c r="E28">
        <v>37</v>
      </c>
      <c r="F28">
        <v>52</v>
      </c>
      <c r="G28">
        <f t="shared" si="0"/>
        <v>102</v>
      </c>
      <c r="H28" s="2">
        <v>15602000</v>
      </c>
    </row>
    <row r="29" spans="1:8" x14ac:dyDescent="0.25">
      <c r="A29" t="s">
        <v>382</v>
      </c>
      <c r="B29">
        <f>YEAR(Wochendaten[[#This Row],[Datum]])</f>
        <v>2024</v>
      </c>
      <c r="C29">
        <f>MONTH(Wochendaten[[#This Row],[Datum]])</f>
        <v>9</v>
      </c>
      <c r="D29">
        <v>14</v>
      </c>
      <c r="E29">
        <v>37</v>
      </c>
      <c r="F29">
        <v>51</v>
      </c>
      <c r="G29">
        <f t="shared" si="0"/>
        <v>102</v>
      </c>
      <c r="H29" s="2">
        <v>16016000</v>
      </c>
    </row>
    <row r="30" spans="1:8" x14ac:dyDescent="0.25">
      <c r="A30" t="s">
        <v>383</v>
      </c>
      <c r="B30">
        <f>YEAR(Wochendaten[[#This Row],[Datum]])</f>
        <v>2024</v>
      </c>
      <c r="C30">
        <f>MONTH(Wochendaten[[#This Row],[Datum]])</f>
        <v>9</v>
      </c>
      <c r="D30">
        <v>13</v>
      </c>
      <c r="E30">
        <v>37</v>
      </c>
      <c r="F30">
        <v>52</v>
      </c>
      <c r="G30">
        <f t="shared" si="0"/>
        <v>102</v>
      </c>
      <c r="H30" s="2">
        <v>18353000</v>
      </c>
    </row>
    <row r="31" spans="1:8" x14ac:dyDescent="0.25">
      <c r="A31" t="s">
        <v>384</v>
      </c>
      <c r="B31">
        <f>YEAR(Wochendaten[[#This Row],[Datum]])</f>
        <v>2024</v>
      </c>
      <c r="C31">
        <f>MONTH(Wochendaten[[#This Row],[Datum]])</f>
        <v>9</v>
      </c>
      <c r="D31">
        <v>13</v>
      </c>
      <c r="E31">
        <v>38</v>
      </c>
      <c r="F31">
        <v>47</v>
      </c>
      <c r="G31">
        <f t="shared" si="0"/>
        <v>98</v>
      </c>
      <c r="H31" s="2">
        <v>18237000</v>
      </c>
    </row>
    <row r="32" spans="1:8" x14ac:dyDescent="0.25">
      <c r="A32" t="s">
        <v>385</v>
      </c>
      <c r="B32">
        <f>YEAR(Wochendaten[[#This Row],[Datum]])</f>
        <v>2024</v>
      </c>
      <c r="C32">
        <f>MONTH(Wochendaten[[#This Row],[Datum]])</f>
        <v>9</v>
      </c>
      <c r="D32">
        <v>14</v>
      </c>
      <c r="E32">
        <v>38</v>
      </c>
      <c r="F32">
        <v>48</v>
      </c>
      <c r="G32">
        <f t="shared" si="0"/>
        <v>100</v>
      </c>
      <c r="H32" s="2">
        <v>19347000</v>
      </c>
    </row>
    <row r="33" spans="1:8" x14ac:dyDescent="0.25">
      <c r="A33" t="s">
        <v>386</v>
      </c>
      <c r="B33">
        <f>YEAR(Wochendaten[[#This Row],[Datum]])</f>
        <v>2024</v>
      </c>
      <c r="C33">
        <f>MONTH(Wochendaten[[#This Row],[Datum]])</f>
        <v>9</v>
      </c>
      <c r="D33">
        <v>13</v>
      </c>
      <c r="E33">
        <v>37</v>
      </c>
      <c r="F33">
        <v>44</v>
      </c>
      <c r="G33">
        <f t="shared" si="0"/>
        <v>94</v>
      </c>
      <c r="H33" s="2">
        <v>19031000</v>
      </c>
    </row>
    <row r="34" spans="1:8" x14ac:dyDescent="0.25">
      <c r="A34" t="s">
        <v>387</v>
      </c>
      <c r="B34">
        <f>YEAR(Wochendaten[[#This Row],[Datum]])</f>
        <v>2024</v>
      </c>
      <c r="C34">
        <f>MONTH(Wochendaten[[#This Row],[Datum]])</f>
        <v>10</v>
      </c>
      <c r="D34">
        <v>13</v>
      </c>
      <c r="E34">
        <v>40</v>
      </c>
      <c r="F34">
        <v>45</v>
      </c>
      <c r="G34">
        <f t="shared" si="0"/>
        <v>98</v>
      </c>
      <c r="H34" s="2">
        <v>18615000</v>
      </c>
    </row>
    <row r="35" spans="1:8" x14ac:dyDescent="0.25">
      <c r="A35" t="s">
        <v>388</v>
      </c>
      <c r="B35">
        <f>YEAR(Wochendaten[[#This Row],[Datum]])</f>
        <v>2024</v>
      </c>
      <c r="C35">
        <f>MONTH(Wochendaten[[#This Row],[Datum]])</f>
        <v>11</v>
      </c>
      <c r="D35">
        <v>12</v>
      </c>
      <c r="E35">
        <v>39</v>
      </c>
      <c r="F35">
        <v>44</v>
      </c>
      <c r="G35">
        <f t="shared" si="0"/>
        <v>95</v>
      </c>
      <c r="H35" s="2">
        <v>18512000</v>
      </c>
    </row>
    <row r="36" spans="1:8" x14ac:dyDescent="0.25">
      <c r="A36" t="s">
        <v>389</v>
      </c>
      <c r="B36">
        <f>YEAR(Wochendaten[[#This Row],[Datum]])</f>
        <v>2025</v>
      </c>
      <c r="C36">
        <f>MONTH(Wochendaten[[#This Row],[Datum]])</f>
        <v>1</v>
      </c>
      <c r="D36">
        <v>11</v>
      </c>
      <c r="E36">
        <v>31</v>
      </c>
      <c r="F36">
        <v>39</v>
      </c>
      <c r="G36">
        <f t="shared" si="0"/>
        <v>81</v>
      </c>
      <c r="H36" s="2">
        <v>16547000</v>
      </c>
    </row>
    <row r="37" spans="1:8" x14ac:dyDescent="0.25">
      <c r="A37" t="s">
        <v>390</v>
      </c>
      <c r="B37">
        <f>YEAR(Wochendaten[[#This Row],[Datum]])</f>
        <v>2025</v>
      </c>
      <c r="C37">
        <f>MONTH(Wochendaten[[#This Row],[Datum]])</f>
        <v>1</v>
      </c>
      <c r="D37">
        <v>11</v>
      </c>
      <c r="E37">
        <v>28</v>
      </c>
      <c r="F37">
        <v>30</v>
      </c>
      <c r="G37">
        <f t="shared" si="0"/>
        <v>69</v>
      </c>
      <c r="H37" s="2">
        <v>15568000</v>
      </c>
    </row>
    <row r="38" spans="1:8" x14ac:dyDescent="0.25">
      <c r="A38" t="s">
        <v>391</v>
      </c>
      <c r="B38">
        <f>YEAR(Wochendaten[[#This Row],[Datum]])</f>
        <v>2025</v>
      </c>
      <c r="C38">
        <f>MONTH(Wochendaten[[#This Row],[Datum]])</f>
        <v>3</v>
      </c>
      <c r="D38">
        <v>12</v>
      </c>
      <c r="E38">
        <v>23</v>
      </c>
      <c r="F38">
        <v>31</v>
      </c>
      <c r="G38">
        <f t="shared" si="0"/>
        <v>66</v>
      </c>
      <c r="H38" s="2">
        <v>12542000</v>
      </c>
    </row>
    <row r="39" spans="1:8" x14ac:dyDescent="0.25">
      <c r="A39" t="s">
        <v>392</v>
      </c>
      <c r="B39">
        <f>YEAR(Wochendaten[[#This Row],[Datum]])</f>
        <v>2025</v>
      </c>
      <c r="C39">
        <f>MONTH(Wochendaten[[#This Row],[Datum]])</f>
        <v>4</v>
      </c>
      <c r="D39">
        <v>12</v>
      </c>
      <c r="E39">
        <v>26</v>
      </c>
      <c r="F39">
        <v>34</v>
      </c>
      <c r="G39">
        <f t="shared" si="0"/>
        <v>72</v>
      </c>
      <c r="H39" s="2">
        <v>12968000</v>
      </c>
    </row>
    <row r="40" spans="1:8" x14ac:dyDescent="0.25">
      <c r="A40" t="s">
        <v>393</v>
      </c>
      <c r="B40">
        <f>YEAR(Wochendaten[[#This Row],[Datum]])</f>
        <v>2025</v>
      </c>
      <c r="C40">
        <f>MONTH(Wochendaten[[#This Row],[Datum]])</f>
        <v>4</v>
      </c>
      <c r="D40">
        <v>12</v>
      </c>
      <c r="E40">
        <v>26</v>
      </c>
      <c r="F40">
        <v>32</v>
      </c>
      <c r="G40">
        <f t="shared" si="0"/>
        <v>70</v>
      </c>
      <c r="H40" s="2">
        <v>12418000</v>
      </c>
    </row>
    <row r="41" spans="1:8" x14ac:dyDescent="0.25">
      <c r="A41" t="s">
        <v>394</v>
      </c>
      <c r="B41">
        <f>YEAR(Wochendaten[[#This Row],[Datum]])</f>
        <v>2025</v>
      </c>
      <c r="C41">
        <f>MONTH(Wochendaten[[#This Row],[Datum]])</f>
        <v>5</v>
      </c>
      <c r="D41">
        <v>12</v>
      </c>
      <c r="E41">
        <v>26</v>
      </c>
      <c r="F41">
        <v>32</v>
      </c>
      <c r="G41">
        <f t="shared" si="0"/>
        <v>70</v>
      </c>
      <c r="H41" s="2">
        <v>12412000</v>
      </c>
    </row>
    <row r="42" spans="1:8" x14ac:dyDescent="0.25">
      <c r="A42" s="3">
        <v>45796</v>
      </c>
      <c r="B42">
        <f>YEAR(Wochendaten[[#This Row],[Datum]])</f>
        <v>2025</v>
      </c>
      <c r="C42">
        <f>MONTH(Wochendaten[[#This Row],[Datum]])</f>
        <v>5</v>
      </c>
      <c r="D42">
        <v>13</v>
      </c>
      <c r="E42">
        <v>27</v>
      </c>
      <c r="F42">
        <v>36</v>
      </c>
      <c r="G42">
        <f t="shared" si="0"/>
        <v>76</v>
      </c>
      <c r="H42" s="2">
        <v>12814000</v>
      </c>
    </row>
    <row r="43" spans="1:8" x14ac:dyDescent="0.25">
      <c r="A43" s="3">
        <v>45821</v>
      </c>
      <c r="B43">
        <v>2025</v>
      </c>
      <c r="C43">
        <v>6</v>
      </c>
      <c r="D43">
        <v>14</v>
      </c>
      <c r="E43">
        <v>25</v>
      </c>
      <c r="F43">
        <v>40</v>
      </c>
      <c r="G43">
        <f t="shared" si="0"/>
        <v>79</v>
      </c>
      <c r="H43">
        <v>13108000</v>
      </c>
    </row>
    <row r="44" spans="1:8" x14ac:dyDescent="0.25">
      <c r="A44" s="3">
        <v>45828</v>
      </c>
      <c r="B44">
        <v>2025</v>
      </c>
      <c r="C44">
        <v>6</v>
      </c>
      <c r="D44">
        <v>14</v>
      </c>
      <c r="E44">
        <v>26</v>
      </c>
      <c r="F44">
        <v>41</v>
      </c>
      <c r="G44">
        <f t="shared" si="0"/>
        <v>81</v>
      </c>
      <c r="H44">
        <v>13108000</v>
      </c>
    </row>
    <row r="45" spans="1:8" x14ac:dyDescent="0.25">
      <c r="A45" s="3">
        <v>45838</v>
      </c>
      <c r="B45">
        <v>2025</v>
      </c>
      <c r="C45">
        <v>6</v>
      </c>
      <c r="D45">
        <v>15</v>
      </c>
      <c r="E45">
        <v>27</v>
      </c>
      <c r="F45">
        <v>40</v>
      </c>
      <c r="G45">
        <f t="shared" si="0"/>
        <v>82</v>
      </c>
      <c r="H45">
        <v>13167000</v>
      </c>
    </row>
    <row r="46" spans="1:8" x14ac:dyDescent="0.25">
      <c r="A46" s="3">
        <v>45849</v>
      </c>
      <c r="B46">
        <v>2025</v>
      </c>
      <c r="C46">
        <v>7</v>
      </c>
      <c r="D46">
        <v>14</v>
      </c>
      <c r="E46">
        <v>27</v>
      </c>
      <c r="F46">
        <v>35</v>
      </c>
      <c r="G46">
        <f t="shared" si="0"/>
        <v>76</v>
      </c>
      <c r="H46">
        <v>12139000</v>
      </c>
    </row>
    <row r="47" spans="1:8" x14ac:dyDescent="0.25">
      <c r="A47" s="3">
        <v>45859</v>
      </c>
      <c r="B47">
        <f>YEAR(Wochendaten[[#This Row],[Datum]])</f>
        <v>2025</v>
      </c>
      <c r="C47">
        <f>MONTH(Wochendaten[[#This Row],[Datum]])</f>
        <v>7</v>
      </c>
      <c r="D47">
        <v>14</v>
      </c>
      <c r="E47">
        <v>25</v>
      </c>
      <c r="F47">
        <v>37</v>
      </c>
      <c r="G47">
        <f t="shared" si="0"/>
        <v>76</v>
      </c>
      <c r="H47">
        <v>12112000</v>
      </c>
    </row>
    <row r="48" spans="1:8" x14ac:dyDescent="0.25">
      <c r="A48" s="3">
        <v>45866</v>
      </c>
      <c r="B48">
        <f>YEAR(Wochendaten[[#This Row],[Datum]])</f>
        <v>2025</v>
      </c>
      <c r="C48">
        <f>MONTH(Wochendaten[[#This Row],[Datum]])</f>
        <v>7</v>
      </c>
      <c r="D48">
        <v>14</v>
      </c>
      <c r="E48">
        <v>25</v>
      </c>
      <c r="F48">
        <v>37</v>
      </c>
      <c r="G48">
        <f t="shared" si="0"/>
        <v>76</v>
      </c>
      <c r="H48">
        <v>12199000</v>
      </c>
    </row>
    <row r="49" spans="1:8" x14ac:dyDescent="0.25">
      <c r="A49" s="3">
        <v>45880</v>
      </c>
      <c r="B49">
        <f>YEAR(Wochendaten[[#This Row],[Datum]])</f>
        <v>2025</v>
      </c>
      <c r="C49">
        <f>MONTH(Wochendaten[[#This Row],[Datum]])</f>
        <v>8</v>
      </c>
      <c r="D49">
        <v>14</v>
      </c>
      <c r="E49">
        <v>29</v>
      </c>
      <c r="F49">
        <v>38</v>
      </c>
      <c r="G49">
        <f t="shared" si="0"/>
        <v>81</v>
      </c>
      <c r="H49">
        <v>12284000</v>
      </c>
    </row>
    <row r="50" spans="1:8" x14ac:dyDescent="0.25">
      <c r="A50" s="3">
        <v>45887</v>
      </c>
      <c r="B50">
        <f>YEAR(Wochendaten[[#This Row],[Datum]])</f>
        <v>2025</v>
      </c>
      <c r="C50">
        <f>MONTH(Wochendaten[[#This Row],[Datum]])</f>
        <v>8</v>
      </c>
      <c r="D50">
        <v>14</v>
      </c>
      <c r="E50">
        <v>30</v>
      </c>
      <c r="F50">
        <v>40</v>
      </c>
      <c r="G50">
        <f t="shared" si="0"/>
        <v>84</v>
      </c>
      <c r="H50">
        <v>12504000</v>
      </c>
    </row>
    <row r="51" spans="1:8" x14ac:dyDescent="0.25">
      <c r="A51" s="3">
        <v>45894</v>
      </c>
      <c r="B51">
        <f>YEAR(Wochendaten[[#This Row],[Datum]])</f>
        <v>2025</v>
      </c>
      <c r="C51">
        <f>MONTH(Wochendaten[[#This Row],[Datum]])</f>
        <v>8</v>
      </c>
      <c r="D51">
        <v>14</v>
      </c>
      <c r="E51">
        <v>31</v>
      </c>
      <c r="F51">
        <v>41</v>
      </c>
      <c r="G51">
        <f t="shared" si="0"/>
        <v>86</v>
      </c>
      <c r="H51">
        <v>12616000</v>
      </c>
    </row>
    <row r="52" spans="1:8" x14ac:dyDescent="0.25">
      <c r="A52" s="3">
        <v>45901</v>
      </c>
      <c r="B52">
        <f>YEAR(Wochendaten[[#This Row],[Datum]])</f>
        <v>2025</v>
      </c>
      <c r="C52">
        <f>MONTH(Wochendaten[[#This Row],[Datum]])</f>
        <v>9</v>
      </c>
      <c r="D52">
        <v>14</v>
      </c>
      <c r="E52">
        <v>31</v>
      </c>
      <c r="F52">
        <v>39</v>
      </c>
      <c r="G52">
        <f t="shared" si="0"/>
        <v>84</v>
      </c>
      <c r="H52">
        <v>12433000</v>
      </c>
    </row>
    <row r="53" spans="1:8" x14ac:dyDescent="0.25">
      <c r="A53" s="3">
        <v>45908</v>
      </c>
      <c r="B53">
        <f>YEAR(Wochendaten[[#This Row],[Datum]])</f>
        <v>2025</v>
      </c>
      <c r="C53">
        <f>MONTH(Wochendaten[[#This Row],[Datum]])</f>
        <v>9</v>
      </c>
      <c r="D53">
        <v>14</v>
      </c>
      <c r="E53">
        <v>33</v>
      </c>
      <c r="F53">
        <v>42</v>
      </c>
      <c r="G53">
        <f t="shared" si="0"/>
        <v>89</v>
      </c>
      <c r="H53">
        <v>12552000</v>
      </c>
    </row>
    <row r="54" spans="1:8" x14ac:dyDescent="0.25">
      <c r="A54" s="3">
        <v>45915</v>
      </c>
      <c r="B54">
        <f>YEAR(Wochendaten[[#This Row],[Datum]])</f>
        <v>2025</v>
      </c>
      <c r="C54">
        <f>MONTH(Wochendaten[[#This Row],[Datum]])</f>
        <v>9</v>
      </c>
      <c r="D54">
        <v>14</v>
      </c>
      <c r="E54">
        <v>32</v>
      </c>
      <c r="F54">
        <v>41</v>
      </c>
      <c r="G54">
        <f t="shared" si="0"/>
        <v>87</v>
      </c>
      <c r="H54">
        <v>12582000</v>
      </c>
    </row>
    <row r="55" spans="1:8" x14ac:dyDescent="0.25">
      <c r="A55" s="3">
        <v>45922</v>
      </c>
      <c r="B55">
        <f>YEAR(Wochendaten[[#This Row],[Datum]])</f>
        <v>2025</v>
      </c>
      <c r="C55">
        <f>MONTH(Wochendaten[[#This Row],[Datum]])</f>
        <v>9</v>
      </c>
      <c r="D55">
        <v>12</v>
      </c>
      <c r="E55">
        <v>33</v>
      </c>
      <c r="F55">
        <v>43</v>
      </c>
      <c r="G55">
        <f t="shared" si="0"/>
        <v>88</v>
      </c>
      <c r="H55">
        <v>12311000</v>
      </c>
    </row>
    <row r="56" spans="1:8" x14ac:dyDescent="0.25">
      <c r="A56" s="3">
        <v>45950</v>
      </c>
      <c r="B56">
        <f>YEAR(Wochendaten[[#This Row],[Datum]])</f>
        <v>2025</v>
      </c>
      <c r="C56">
        <f>MONTH(Wochendaten[[#This Row],[Datum]])</f>
        <v>10</v>
      </c>
      <c r="D56">
        <v>12</v>
      </c>
      <c r="E56">
        <v>32</v>
      </c>
      <c r="F56">
        <v>48</v>
      </c>
      <c r="G56">
        <f t="shared" si="0"/>
        <v>92</v>
      </c>
      <c r="H56">
        <v>12107000</v>
      </c>
    </row>
    <row r="57" spans="1:8" x14ac:dyDescent="0.25">
      <c r="A57" s="3">
        <v>45957</v>
      </c>
      <c r="B57">
        <f>YEAR(Wochendaten[[#This Row],[Datum]])</f>
        <v>2025</v>
      </c>
      <c r="C57">
        <f>MONTH(Wochendaten[[#This Row],[Datum]])</f>
        <v>10</v>
      </c>
      <c r="D57">
        <v>12</v>
      </c>
      <c r="E57">
        <v>31</v>
      </c>
      <c r="F57">
        <v>47</v>
      </c>
      <c r="G57">
        <f t="shared" si="0"/>
        <v>90</v>
      </c>
      <c r="H57">
        <v>12294000</v>
      </c>
    </row>
    <row r="58" spans="1:8" x14ac:dyDescent="0.25">
      <c r="A58" s="3">
        <v>45964</v>
      </c>
      <c r="B58">
        <f>YEAR(Wochendaten[[#This Row],[Datum]])</f>
        <v>2025</v>
      </c>
      <c r="C58">
        <f>MONTH(Wochendaten[[#This Row],[Datum]])</f>
        <v>11</v>
      </c>
      <c r="D58">
        <v>10</v>
      </c>
      <c r="E58">
        <v>28</v>
      </c>
      <c r="F58">
        <v>48</v>
      </c>
      <c r="G58">
        <f t="shared" si="0"/>
        <v>86</v>
      </c>
      <c r="H58">
        <v>11087000</v>
      </c>
    </row>
    <row r="59" spans="1:8" x14ac:dyDescent="0.25">
      <c r="A59" s="3">
        <v>45971</v>
      </c>
      <c r="B59">
        <f>YEAR(Wochendaten[[#This Row],[Datum]])</f>
        <v>2025</v>
      </c>
      <c r="C59">
        <f>MONTH(Wochendaten[[#This Row],[Datum]])</f>
        <v>11</v>
      </c>
      <c r="D59">
        <v>10</v>
      </c>
      <c r="E59">
        <v>29</v>
      </c>
      <c r="F59">
        <v>46</v>
      </c>
      <c r="G59">
        <f t="shared" si="0"/>
        <v>85</v>
      </c>
      <c r="H59">
        <v>11152000</v>
      </c>
    </row>
    <row r="60" spans="1:8" x14ac:dyDescent="0.25">
      <c r="A60" s="3">
        <v>45985</v>
      </c>
      <c r="B60">
        <f>YEAR(Wochendaten[[#This Row],[Datum]])</f>
        <v>2025</v>
      </c>
      <c r="C60">
        <f>MONTH(Wochendaten[[#This Row],[Datum]])</f>
        <v>11</v>
      </c>
      <c r="D60">
        <v>11</v>
      </c>
      <c r="E60">
        <v>38</v>
      </c>
      <c r="F60">
        <v>45</v>
      </c>
      <c r="G60">
        <f t="shared" si="0"/>
        <v>94</v>
      </c>
      <c r="H60">
        <v>10395000</v>
      </c>
    </row>
    <row r="61" spans="1:8" x14ac:dyDescent="0.25">
      <c r="A61" s="3">
        <v>45992</v>
      </c>
      <c r="B61">
        <f>YEAR(Wochendaten[[#This Row],[Datum]])</f>
        <v>2025</v>
      </c>
      <c r="C61">
        <v>12</v>
      </c>
      <c r="D61">
        <v>11</v>
      </c>
      <c r="E61">
        <v>38</v>
      </c>
      <c r="F61">
        <v>44</v>
      </c>
      <c r="G61">
        <f t="shared" si="0"/>
        <v>93</v>
      </c>
      <c r="H61">
        <v>10373000</v>
      </c>
    </row>
    <row r="62" spans="1:8" x14ac:dyDescent="0.25">
      <c r="A62" s="3">
        <v>45999</v>
      </c>
      <c r="B62">
        <f>YEAR(Wochendaten[[#This Row],[Datum]])</f>
        <v>2025</v>
      </c>
      <c r="C62">
        <f>MONTH(Wochendaten[[#This Row],[Datum]])</f>
        <v>12</v>
      </c>
      <c r="D62">
        <v>9</v>
      </c>
      <c r="E62">
        <v>39</v>
      </c>
      <c r="F62">
        <v>43</v>
      </c>
      <c r="G62">
        <f t="shared" si="0"/>
        <v>91</v>
      </c>
      <c r="H62">
        <v>9206000</v>
      </c>
    </row>
    <row r="63" spans="1:8" x14ac:dyDescent="0.25">
      <c r="A63" s="3">
        <v>46006</v>
      </c>
      <c r="B63">
        <f>YEAR(Wochendaten[[#This Row],[Datum]])</f>
        <v>2025</v>
      </c>
      <c r="C63">
        <f>MONTH(Wochendaten[[#This Row],[Datum]])</f>
        <v>12</v>
      </c>
      <c r="D63">
        <v>9</v>
      </c>
      <c r="E63">
        <v>42</v>
      </c>
      <c r="F63">
        <v>41</v>
      </c>
      <c r="G63">
        <f t="shared" si="0"/>
        <v>92</v>
      </c>
      <c r="H63">
        <v>9195000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Plomer</dc:creator>
  <cp:lastModifiedBy>Phillip Plomer</cp:lastModifiedBy>
  <dcterms:created xsi:type="dcterms:W3CDTF">2025-12-16T08:24:39Z</dcterms:created>
  <dcterms:modified xsi:type="dcterms:W3CDTF">2025-12-18T16:50:51Z</dcterms:modified>
</cp:coreProperties>
</file>