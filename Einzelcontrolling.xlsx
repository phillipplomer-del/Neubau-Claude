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phillip.plomer\Downloads\"/>
    </mc:Choice>
  </mc:AlternateContent>
  <xr:revisionPtr revIDLastSave="0" documentId="13_ncr:1_{08AED95F-C0D8-4E8F-9CA4-8D4CAA859FBB}" xr6:coauthVersionLast="47" xr6:coauthVersionMax="47" xr10:uidLastSave="{00000000-0000-0000-0000-000000000000}"/>
  <bookViews>
    <workbookView xWindow="-120" yWindow="-120" windowWidth="29040" windowHeight="15720" tabRatio="631" activeTab="3" xr2:uid="{00000000-000D-0000-FFFF-FFFF00000000}"/>
  </bookViews>
  <sheets>
    <sheet name="Info" sheetId="3" r:id="rId1"/>
    <sheet name="Projektabschluss" sheetId="40" r:id="rId2"/>
    <sheet name="Arbeitsgänge" sheetId="39" r:id="rId3"/>
    <sheet name="BSP" sheetId="21" r:id="rId4"/>
    <sheet name="template" sheetId="38" r:id="rId5"/>
    <sheet name="KW14" sheetId="41" r:id="rId6"/>
    <sheet name="KW46" sheetId="42" r:id="rId7"/>
    <sheet name="KW53" sheetId="4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3" l="1"/>
  <c r="H63" i="3"/>
  <c r="H61" i="3"/>
  <c r="H59" i="3"/>
  <c r="H54" i="3"/>
  <c r="H50" i="3"/>
  <c r="H47" i="3"/>
  <c r="H45" i="3"/>
  <c r="H44" i="3"/>
  <c r="H43" i="3"/>
  <c r="H42" i="3"/>
  <c r="G66" i="3"/>
  <c r="G65" i="3"/>
  <c r="G64" i="3"/>
  <c r="G63" i="3"/>
  <c r="G62" i="3"/>
  <c r="G61" i="3"/>
  <c r="G60" i="3"/>
  <c r="G59" i="3"/>
  <c r="G57" i="3"/>
  <c r="G56" i="3"/>
  <c r="G55" i="3"/>
  <c r="G54" i="3"/>
  <c r="G51" i="3"/>
  <c r="G50" i="3"/>
  <c r="G48" i="3"/>
  <c r="G47" i="3"/>
  <c r="G45" i="3"/>
  <c r="G44" i="3"/>
  <c r="G43" i="3"/>
  <c r="G42" i="3"/>
  <c r="F66" i="3"/>
  <c r="F65" i="3"/>
  <c r="F64" i="3"/>
  <c r="F63" i="3"/>
  <c r="F62" i="3"/>
  <c r="F61" i="3"/>
  <c r="F60" i="3"/>
  <c r="F59" i="3"/>
  <c r="F57" i="3"/>
  <c r="F56" i="3"/>
  <c r="F55" i="3"/>
  <c r="F54" i="3"/>
  <c r="F51" i="3"/>
  <c r="F50" i="3"/>
  <c r="F48" i="3"/>
  <c r="F47" i="3"/>
  <c r="F45" i="3"/>
  <c r="F44" i="3"/>
  <c r="F43" i="3"/>
  <c r="F42" i="3"/>
  <c r="E66" i="3"/>
  <c r="E65" i="3"/>
  <c r="E64" i="3"/>
  <c r="E63" i="3"/>
  <c r="E62" i="3"/>
  <c r="E61" i="3"/>
  <c r="E60" i="3"/>
  <c r="E59" i="3"/>
  <c r="E57" i="3"/>
  <c r="E56" i="3"/>
  <c r="E55" i="3"/>
  <c r="E54" i="3"/>
  <c r="E51" i="3"/>
  <c r="E50" i="3"/>
  <c r="E48" i="3"/>
  <c r="E47" i="3"/>
  <c r="E45" i="3"/>
  <c r="E44" i="3"/>
  <c r="E43" i="3"/>
  <c r="E42" i="3"/>
  <c r="D227" i="43"/>
  <c r="D226" i="43"/>
  <c r="D224" i="43"/>
  <c r="E216" i="43"/>
  <c r="I204" i="43"/>
  <c r="H204" i="43"/>
  <c r="G204" i="43"/>
  <c r="F204" i="43"/>
  <c r="D228" i="43" s="1"/>
  <c r="H56" i="3" s="1"/>
  <c r="D204" i="43"/>
  <c r="C204" i="43"/>
  <c r="N202" i="43"/>
  <c r="M202" i="43"/>
  <c r="O202" i="43" s="1"/>
  <c r="J202" i="43"/>
  <c r="E202" i="43"/>
  <c r="N201" i="43"/>
  <c r="M201" i="43"/>
  <c r="O201" i="43" s="1"/>
  <c r="J201" i="43"/>
  <c r="E201" i="43"/>
  <c r="N200" i="43"/>
  <c r="M200" i="43"/>
  <c r="O200" i="43" s="1"/>
  <c r="J200" i="43"/>
  <c r="E200" i="43"/>
  <c r="N199" i="43"/>
  <c r="M199" i="43"/>
  <c r="O199" i="43" s="1"/>
  <c r="J199" i="43"/>
  <c r="E199" i="43"/>
  <c r="N198" i="43"/>
  <c r="M198" i="43"/>
  <c r="O198" i="43" s="1"/>
  <c r="J198" i="43"/>
  <c r="E198" i="43"/>
  <c r="N197" i="43"/>
  <c r="M197" i="43"/>
  <c r="O197" i="43" s="1"/>
  <c r="J197" i="43"/>
  <c r="E197" i="43"/>
  <c r="N196" i="43"/>
  <c r="M196" i="43"/>
  <c r="O196" i="43" s="1"/>
  <c r="J196" i="43"/>
  <c r="E196" i="43"/>
  <c r="N195" i="43"/>
  <c r="M195" i="43"/>
  <c r="O195" i="43" s="1"/>
  <c r="J195" i="43"/>
  <c r="E195" i="43"/>
  <c r="N194" i="43"/>
  <c r="M194" i="43"/>
  <c r="O194" i="43" s="1"/>
  <c r="J194" i="43"/>
  <c r="E194" i="43"/>
  <c r="N193" i="43"/>
  <c r="M193" i="43"/>
  <c r="O193" i="43" s="1"/>
  <c r="J193" i="43"/>
  <c r="E193" i="43"/>
  <c r="N192" i="43"/>
  <c r="M192" i="43"/>
  <c r="O192" i="43" s="1"/>
  <c r="J192" i="43"/>
  <c r="E192" i="43"/>
  <c r="N191" i="43"/>
  <c r="M191" i="43"/>
  <c r="O191" i="43" s="1"/>
  <c r="J191" i="43"/>
  <c r="E191" i="43"/>
  <c r="N190" i="43"/>
  <c r="M190" i="43"/>
  <c r="O190" i="43" s="1"/>
  <c r="J190" i="43"/>
  <c r="E190" i="43"/>
  <c r="N189" i="43"/>
  <c r="M189" i="43"/>
  <c r="O189" i="43" s="1"/>
  <c r="J189" i="43"/>
  <c r="E189" i="43"/>
  <c r="N188" i="43"/>
  <c r="M188" i="43"/>
  <c r="O188" i="43" s="1"/>
  <c r="J188" i="43"/>
  <c r="E188" i="43"/>
  <c r="N187" i="43"/>
  <c r="M187" i="43"/>
  <c r="O187" i="43" s="1"/>
  <c r="J187" i="43"/>
  <c r="E187" i="43"/>
  <c r="N186" i="43"/>
  <c r="M186" i="43"/>
  <c r="O186" i="43" s="1"/>
  <c r="J186" i="43"/>
  <c r="E186" i="43"/>
  <c r="N185" i="43"/>
  <c r="M185" i="43"/>
  <c r="O185" i="43" s="1"/>
  <c r="J185" i="43"/>
  <c r="E185" i="43"/>
  <c r="N184" i="43"/>
  <c r="M184" i="43"/>
  <c r="O184" i="43" s="1"/>
  <c r="J184" i="43"/>
  <c r="E184" i="43"/>
  <c r="N183" i="43"/>
  <c r="M183" i="43"/>
  <c r="O183" i="43" s="1"/>
  <c r="J183" i="43"/>
  <c r="E183" i="43"/>
  <c r="N182" i="43"/>
  <c r="M182" i="43"/>
  <c r="O182" i="43" s="1"/>
  <c r="J182" i="43"/>
  <c r="E182" i="43"/>
  <c r="N181" i="43"/>
  <c r="M181" i="43"/>
  <c r="O181" i="43" s="1"/>
  <c r="J181" i="43"/>
  <c r="E181" i="43"/>
  <c r="N180" i="43"/>
  <c r="M180" i="43"/>
  <c r="O180" i="43" s="1"/>
  <c r="J180" i="43"/>
  <c r="E180" i="43"/>
  <c r="N179" i="43"/>
  <c r="M179" i="43"/>
  <c r="O179" i="43" s="1"/>
  <c r="J179" i="43"/>
  <c r="E179" i="43"/>
  <c r="N178" i="43"/>
  <c r="M178" i="43"/>
  <c r="O178" i="43" s="1"/>
  <c r="J178" i="43"/>
  <c r="E178" i="43"/>
  <c r="N177" i="43"/>
  <c r="M177" i="43"/>
  <c r="O177" i="43" s="1"/>
  <c r="J177" i="43"/>
  <c r="E177" i="43"/>
  <c r="N176" i="43"/>
  <c r="M176" i="43"/>
  <c r="O176" i="43" s="1"/>
  <c r="J176" i="43"/>
  <c r="E176" i="43"/>
  <c r="N175" i="43"/>
  <c r="M175" i="43"/>
  <c r="O175" i="43" s="1"/>
  <c r="J175" i="43"/>
  <c r="E175" i="43"/>
  <c r="N174" i="43"/>
  <c r="M174" i="43"/>
  <c r="O174" i="43" s="1"/>
  <c r="J174" i="43"/>
  <c r="E174" i="43"/>
  <c r="N173" i="43"/>
  <c r="M173" i="43"/>
  <c r="O173" i="43" s="1"/>
  <c r="J173" i="43"/>
  <c r="E173" i="43"/>
  <c r="N172" i="43"/>
  <c r="M172" i="43"/>
  <c r="O172" i="43" s="1"/>
  <c r="J172" i="43"/>
  <c r="E172" i="43"/>
  <c r="N171" i="43"/>
  <c r="M171" i="43"/>
  <c r="O171" i="43" s="1"/>
  <c r="J171" i="43"/>
  <c r="E171" i="43"/>
  <c r="N170" i="43"/>
  <c r="M170" i="43"/>
  <c r="O170" i="43" s="1"/>
  <c r="J170" i="43"/>
  <c r="E170" i="43"/>
  <c r="N169" i="43"/>
  <c r="M169" i="43"/>
  <c r="O169" i="43" s="1"/>
  <c r="J169" i="43"/>
  <c r="E169" i="43"/>
  <c r="N168" i="43"/>
  <c r="M168" i="43"/>
  <c r="O168" i="43" s="1"/>
  <c r="J168" i="43"/>
  <c r="E168" i="43"/>
  <c r="N167" i="43"/>
  <c r="M167" i="43"/>
  <c r="O167" i="43" s="1"/>
  <c r="J167" i="43"/>
  <c r="E167" i="43"/>
  <c r="N166" i="43"/>
  <c r="M166" i="43"/>
  <c r="O166" i="43" s="1"/>
  <c r="J166" i="43"/>
  <c r="E166" i="43"/>
  <c r="N165" i="43"/>
  <c r="M165" i="43"/>
  <c r="O165" i="43" s="1"/>
  <c r="J165" i="43"/>
  <c r="E165" i="43"/>
  <c r="N164" i="43"/>
  <c r="M164" i="43"/>
  <c r="O164" i="43" s="1"/>
  <c r="J164" i="43"/>
  <c r="E164" i="43"/>
  <c r="N163" i="43"/>
  <c r="M163" i="43"/>
  <c r="O163" i="43" s="1"/>
  <c r="J163" i="43"/>
  <c r="E163" i="43"/>
  <c r="N162" i="43"/>
  <c r="M162" i="43"/>
  <c r="O162" i="43" s="1"/>
  <c r="J162" i="43"/>
  <c r="E162" i="43"/>
  <c r="N161" i="43"/>
  <c r="M161" i="43"/>
  <c r="O161" i="43" s="1"/>
  <c r="J161" i="43"/>
  <c r="E161" i="43"/>
  <c r="N160" i="43"/>
  <c r="M160" i="43"/>
  <c r="O160" i="43" s="1"/>
  <c r="J160" i="43"/>
  <c r="E160" i="43"/>
  <c r="N159" i="43"/>
  <c r="M159" i="43"/>
  <c r="O159" i="43" s="1"/>
  <c r="J159" i="43"/>
  <c r="E159" i="43"/>
  <c r="N158" i="43"/>
  <c r="M158" i="43"/>
  <c r="O158" i="43" s="1"/>
  <c r="J158" i="43"/>
  <c r="E158" i="43"/>
  <c r="N157" i="43"/>
  <c r="M157" i="43"/>
  <c r="O157" i="43" s="1"/>
  <c r="J157" i="43"/>
  <c r="E157" i="43"/>
  <c r="N156" i="43"/>
  <c r="M156" i="43"/>
  <c r="O156" i="43" s="1"/>
  <c r="J156" i="43"/>
  <c r="E156" i="43"/>
  <c r="N155" i="43"/>
  <c r="M155" i="43"/>
  <c r="O155" i="43" s="1"/>
  <c r="J155" i="43"/>
  <c r="E155" i="43"/>
  <c r="N154" i="43"/>
  <c r="M154" i="43"/>
  <c r="O154" i="43" s="1"/>
  <c r="J154" i="43"/>
  <c r="E154" i="43"/>
  <c r="N153" i="43"/>
  <c r="M153" i="43"/>
  <c r="O153" i="43" s="1"/>
  <c r="J153" i="43"/>
  <c r="E153" i="43"/>
  <c r="N152" i="43"/>
  <c r="M152" i="43"/>
  <c r="O152" i="43" s="1"/>
  <c r="J152" i="43"/>
  <c r="E152" i="43"/>
  <c r="N151" i="43"/>
  <c r="M151" i="43"/>
  <c r="O151" i="43" s="1"/>
  <c r="J151" i="43"/>
  <c r="E151" i="43"/>
  <c r="N150" i="43"/>
  <c r="M150" i="43"/>
  <c r="O150" i="43" s="1"/>
  <c r="J150" i="43"/>
  <c r="E150" i="43"/>
  <c r="N149" i="43"/>
  <c r="M149" i="43"/>
  <c r="O149" i="43" s="1"/>
  <c r="J149" i="43"/>
  <c r="E149" i="43"/>
  <c r="N148" i="43"/>
  <c r="M148" i="43"/>
  <c r="O148" i="43" s="1"/>
  <c r="J148" i="43"/>
  <c r="E148" i="43"/>
  <c r="N147" i="43"/>
  <c r="M147" i="43"/>
  <c r="O147" i="43" s="1"/>
  <c r="J147" i="43"/>
  <c r="E147" i="43"/>
  <c r="N146" i="43"/>
  <c r="M146" i="43"/>
  <c r="O146" i="43" s="1"/>
  <c r="J146" i="43"/>
  <c r="E146" i="43"/>
  <c r="N145" i="43"/>
  <c r="M145" i="43"/>
  <c r="O145" i="43" s="1"/>
  <c r="J145" i="43"/>
  <c r="E145" i="43"/>
  <c r="N144" i="43"/>
  <c r="M144" i="43"/>
  <c r="O144" i="43" s="1"/>
  <c r="J144" i="43"/>
  <c r="E144" i="43"/>
  <c r="N143" i="43"/>
  <c r="M143" i="43"/>
  <c r="O143" i="43" s="1"/>
  <c r="J143" i="43"/>
  <c r="E143" i="43"/>
  <c r="N142" i="43"/>
  <c r="M142" i="43"/>
  <c r="O142" i="43" s="1"/>
  <c r="J142" i="43"/>
  <c r="E142" i="43"/>
  <c r="N141" i="43"/>
  <c r="M141" i="43"/>
  <c r="O141" i="43" s="1"/>
  <c r="J141" i="43"/>
  <c r="E141" i="43"/>
  <c r="N140" i="43"/>
  <c r="M140" i="43"/>
  <c r="O140" i="43" s="1"/>
  <c r="J140" i="43"/>
  <c r="E140" i="43"/>
  <c r="N139" i="43"/>
  <c r="M139" i="43"/>
  <c r="O139" i="43" s="1"/>
  <c r="J139" i="43"/>
  <c r="E139" i="43"/>
  <c r="N138" i="43"/>
  <c r="M138" i="43"/>
  <c r="O138" i="43" s="1"/>
  <c r="J138" i="43"/>
  <c r="E138" i="43"/>
  <c r="N137" i="43"/>
  <c r="M137" i="43"/>
  <c r="O137" i="43" s="1"/>
  <c r="J137" i="43"/>
  <c r="E137" i="43"/>
  <c r="N136" i="43"/>
  <c r="M136" i="43"/>
  <c r="O136" i="43" s="1"/>
  <c r="J136" i="43"/>
  <c r="E136" i="43"/>
  <c r="N135" i="43"/>
  <c r="M135" i="43"/>
  <c r="O135" i="43" s="1"/>
  <c r="J135" i="43"/>
  <c r="E135" i="43"/>
  <c r="N134" i="43"/>
  <c r="M134" i="43"/>
  <c r="O134" i="43" s="1"/>
  <c r="J134" i="43"/>
  <c r="E134" i="43"/>
  <c r="N133" i="43"/>
  <c r="M133" i="43"/>
  <c r="O133" i="43" s="1"/>
  <c r="J133" i="43"/>
  <c r="E133" i="43"/>
  <c r="O132" i="43"/>
  <c r="N132" i="43"/>
  <c r="M132" i="43"/>
  <c r="J132" i="43"/>
  <c r="E132" i="43"/>
  <c r="N131" i="43"/>
  <c r="M131" i="43"/>
  <c r="O131" i="43" s="1"/>
  <c r="J131" i="43"/>
  <c r="E131" i="43"/>
  <c r="N130" i="43"/>
  <c r="M130" i="43"/>
  <c r="O130" i="43" s="1"/>
  <c r="J130" i="43"/>
  <c r="E130" i="43"/>
  <c r="N129" i="43"/>
  <c r="M129" i="43"/>
  <c r="O129" i="43" s="1"/>
  <c r="J129" i="43"/>
  <c r="E129" i="43"/>
  <c r="N128" i="43"/>
  <c r="M128" i="43"/>
  <c r="O128" i="43" s="1"/>
  <c r="J128" i="43"/>
  <c r="E128" i="43"/>
  <c r="N127" i="43"/>
  <c r="M127" i="43"/>
  <c r="O127" i="43" s="1"/>
  <c r="J127" i="43"/>
  <c r="E127" i="43"/>
  <c r="N126" i="43"/>
  <c r="M126" i="43"/>
  <c r="O126" i="43" s="1"/>
  <c r="J126" i="43"/>
  <c r="E126" i="43"/>
  <c r="N125" i="43"/>
  <c r="M125" i="43"/>
  <c r="O125" i="43" s="1"/>
  <c r="J125" i="43"/>
  <c r="E125" i="43"/>
  <c r="N124" i="43"/>
  <c r="M124" i="43"/>
  <c r="O124" i="43" s="1"/>
  <c r="J124" i="43"/>
  <c r="E124" i="43"/>
  <c r="N123" i="43"/>
  <c r="M123" i="43"/>
  <c r="O123" i="43" s="1"/>
  <c r="J123" i="43"/>
  <c r="E123" i="43"/>
  <c r="N122" i="43"/>
  <c r="M122" i="43"/>
  <c r="O122" i="43" s="1"/>
  <c r="J122" i="43"/>
  <c r="E122" i="43"/>
  <c r="O121" i="43"/>
  <c r="N121" i="43"/>
  <c r="M121" i="43"/>
  <c r="J121" i="43"/>
  <c r="E121" i="43"/>
  <c r="N120" i="43"/>
  <c r="M120" i="43"/>
  <c r="O120" i="43" s="1"/>
  <c r="J120" i="43"/>
  <c r="E120" i="43"/>
  <c r="N119" i="43"/>
  <c r="M119" i="43"/>
  <c r="O119" i="43" s="1"/>
  <c r="J119" i="43"/>
  <c r="E119" i="43"/>
  <c r="N118" i="43"/>
  <c r="M118" i="43"/>
  <c r="O118" i="43" s="1"/>
  <c r="J118" i="43"/>
  <c r="E118" i="43"/>
  <c r="N117" i="43"/>
  <c r="M117" i="43"/>
  <c r="O117" i="43" s="1"/>
  <c r="J117" i="43"/>
  <c r="E117" i="43"/>
  <c r="N116" i="43"/>
  <c r="M116" i="43"/>
  <c r="O116" i="43" s="1"/>
  <c r="J116" i="43"/>
  <c r="E116" i="43"/>
  <c r="N115" i="43"/>
  <c r="M115" i="43"/>
  <c r="O115" i="43" s="1"/>
  <c r="J115" i="43"/>
  <c r="E115" i="43"/>
  <c r="N114" i="43"/>
  <c r="M114" i="43"/>
  <c r="O114" i="43" s="1"/>
  <c r="J114" i="43"/>
  <c r="E114" i="43"/>
  <c r="N113" i="43"/>
  <c r="M113" i="43"/>
  <c r="O113" i="43" s="1"/>
  <c r="J113" i="43"/>
  <c r="E113" i="43"/>
  <c r="N112" i="43"/>
  <c r="M112" i="43"/>
  <c r="O112" i="43" s="1"/>
  <c r="J112" i="43"/>
  <c r="E112" i="43"/>
  <c r="N111" i="43"/>
  <c r="M111" i="43"/>
  <c r="O111" i="43" s="1"/>
  <c r="J111" i="43"/>
  <c r="E111" i="43"/>
  <c r="N110" i="43"/>
  <c r="M110" i="43"/>
  <c r="O110" i="43" s="1"/>
  <c r="J110" i="43"/>
  <c r="E110" i="43"/>
  <c r="N109" i="43"/>
  <c r="M109" i="43"/>
  <c r="O109" i="43" s="1"/>
  <c r="J109" i="43"/>
  <c r="E109" i="43"/>
  <c r="N108" i="43"/>
  <c r="M108" i="43"/>
  <c r="O108" i="43" s="1"/>
  <c r="J108" i="43"/>
  <c r="E108" i="43"/>
  <c r="N107" i="43"/>
  <c r="M107" i="43"/>
  <c r="O107" i="43" s="1"/>
  <c r="J107" i="43"/>
  <c r="E107" i="43"/>
  <c r="N106" i="43"/>
  <c r="M106" i="43"/>
  <c r="O106" i="43" s="1"/>
  <c r="J106" i="43"/>
  <c r="E106" i="43"/>
  <c r="N105" i="43"/>
  <c r="M105" i="43"/>
  <c r="O105" i="43" s="1"/>
  <c r="J105" i="43"/>
  <c r="E105" i="43"/>
  <c r="N104" i="43"/>
  <c r="M104" i="43"/>
  <c r="O104" i="43" s="1"/>
  <c r="J104" i="43"/>
  <c r="E104" i="43"/>
  <c r="N103" i="43"/>
  <c r="M103" i="43"/>
  <c r="O103" i="43" s="1"/>
  <c r="J103" i="43"/>
  <c r="E103" i="43"/>
  <c r="N102" i="43"/>
  <c r="M102" i="43"/>
  <c r="O102" i="43" s="1"/>
  <c r="J102" i="43"/>
  <c r="E102" i="43"/>
  <c r="N101" i="43"/>
  <c r="M101" i="43"/>
  <c r="O101" i="43" s="1"/>
  <c r="J101" i="43"/>
  <c r="E101" i="43"/>
  <c r="N100" i="43"/>
  <c r="M100" i="43"/>
  <c r="O100" i="43" s="1"/>
  <c r="J100" i="43"/>
  <c r="E100" i="43"/>
  <c r="N99" i="43"/>
  <c r="M99" i="43"/>
  <c r="O99" i="43" s="1"/>
  <c r="J99" i="43"/>
  <c r="E99" i="43"/>
  <c r="N98" i="43"/>
  <c r="M98" i="43"/>
  <c r="O98" i="43" s="1"/>
  <c r="J98" i="43"/>
  <c r="E98" i="43"/>
  <c r="N97" i="43"/>
  <c r="M97" i="43"/>
  <c r="O97" i="43" s="1"/>
  <c r="J97" i="43"/>
  <c r="E97" i="43"/>
  <c r="N96" i="43"/>
  <c r="M96" i="43"/>
  <c r="O96" i="43" s="1"/>
  <c r="J96" i="43"/>
  <c r="E96" i="43"/>
  <c r="N95" i="43"/>
  <c r="M95" i="43"/>
  <c r="O95" i="43" s="1"/>
  <c r="J95" i="43"/>
  <c r="E95" i="43"/>
  <c r="N94" i="43"/>
  <c r="M94" i="43"/>
  <c r="O94" i="43" s="1"/>
  <c r="J94" i="43"/>
  <c r="E94" i="43"/>
  <c r="N93" i="43"/>
  <c r="M93" i="43"/>
  <c r="O93" i="43" s="1"/>
  <c r="J93" i="43"/>
  <c r="E93" i="43"/>
  <c r="N92" i="43"/>
  <c r="M92" i="43"/>
  <c r="O92" i="43" s="1"/>
  <c r="J92" i="43"/>
  <c r="E92" i="43"/>
  <c r="N91" i="43"/>
  <c r="M91" i="43"/>
  <c r="O91" i="43" s="1"/>
  <c r="J91" i="43"/>
  <c r="E91" i="43"/>
  <c r="N90" i="43"/>
  <c r="M90" i="43"/>
  <c r="O90" i="43" s="1"/>
  <c r="J90" i="43"/>
  <c r="E90" i="43"/>
  <c r="N89" i="43"/>
  <c r="M89" i="43"/>
  <c r="O89" i="43" s="1"/>
  <c r="J89" i="43"/>
  <c r="E89" i="43"/>
  <c r="N88" i="43"/>
  <c r="M88" i="43"/>
  <c r="O88" i="43" s="1"/>
  <c r="J88" i="43"/>
  <c r="E88" i="43"/>
  <c r="N87" i="43"/>
  <c r="M87" i="43"/>
  <c r="O87" i="43" s="1"/>
  <c r="J87" i="43"/>
  <c r="E87" i="43"/>
  <c r="N86" i="43"/>
  <c r="M86" i="43"/>
  <c r="O86" i="43" s="1"/>
  <c r="J86" i="43"/>
  <c r="E86" i="43"/>
  <c r="N85" i="43"/>
  <c r="M85" i="43"/>
  <c r="O85" i="43" s="1"/>
  <c r="J85" i="43"/>
  <c r="E85" i="43"/>
  <c r="N84" i="43"/>
  <c r="M84" i="43"/>
  <c r="O84" i="43" s="1"/>
  <c r="J84" i="43"/>
  <c r="E84" i="43"/>
  <c r="N83" i="43"/>
  <c r="M83" i="43"/>
  <c r="O83" i="43" s="1"/>
  <c r="J83" i="43"/>
  <c r="E83" i="43"/>
  <c r="N82" i="43"/>
  <c r="M82" i="43"/>
  <c r="O82" i="43" s="1"/>
  <c r="J82" i="43"/>
  <c r="E82" i="43"/>
  <c r="O81" i="43"/>
  <c r="N81" i="43"/>
  <c r="M81" i="43"/>
  <c r="J81" i="43"/>
  <c r="E81" i="43"/>
  <c r="N80" i="43"/>
  <c r="M80" i="43"/>
  <c r="O80" i="43" s="1"/>
  <c r="J80" i="43"/>
  <c r="E80" i="43"/>
  <c r="N79" i="43"/>
  <c r="M79" i="43"/>
  <c r="O79" i="43" s="1"/>
  <c r="J79" i="43"/>
  <c r="E79" i="43"/>
  <c r="N78" i="43"/>
  <c r="M78" i="43"/>
  <c r="O78" i="43" s="1"/>
  <c r="J78" i="43"/>
  <c r="E78" i="43"/>
  <c r="N77" i="43"/>
  <c r="M77" i="43"/>
  <c r="O77" i="43" s="1"/>
  <c r="J77" i="43"/>
  <c r="E77" i="43"/>
  <c r="N76" i="43"/>
  <c r="M76" i="43"/>
  <c r="O76" i="43" s="1"/>
  <c r="J76" i="43"/>
  <c r="E76" i="43"/>
  <c r="N75" i="43"/>
  <c r="M75" i="43"/>
  <c r="O75" i="43" s="1"/>
  <c r="J75" i="43"/>
  <c r="E75" i="43"/>
  <c r="N74" i="43"/>
  <c r="M74" i="43"/>
  <c r="O74" i="43" s="1"/>
  <c r="J74" i="43"/>
  <c r="E74" i="43"/>
  <c r="N73" i="43"/>
  <c r="M73" i="43"/>
  <c r="O73" i="43" s="1"/>
  <c r="J73" i="43"/>
  <c r="E73" i="43"/>
  <c r="N72" i="43"/>
  <c r="M72" i="43"/>
  <c r="O72" i="43" s="1"/>
  <c r="J72" i="43"/>
  <c r="E72" i="43"/>
  <c r="N71" i="43"/>
  <c r="M71" i="43"/>
  <c r="O71" i="43" s="1"/>
  <c r="J71" i="43"/>
  <c r="E71" i="43"/>
  <c r="N70" i="43"/>
  <c r="M70" i="43"/>
  <c r="O70" i="43" s="1"/>
  <c r="J70" i="43"/>
  <c r="E70" i="43"/>
  <c r="N69" i="43"/>
  <c r="M69" i="43"/>
  <c r="O69" i="43" s="1"/>
  <c r="J69" i="43"/>
  <c r="E69" i="43"/>
  <c r="N68" i="43"/>
  <c r="M68" i="43"/>
  <c r="O68" i="43" s="1"/>
  <c r="J68" i="43"/>
  <c r="E68" i="43"/>
  <c r="N67" i="43"/>
  <c r="M67" i="43"/>
  <c r="O67" i="43" s="1"/>
  <c r="J67" i="43"/>
  <c r="E67" i="43"/>
  <c r="N66" i="43"/>
  <c r="M66" i="43"/>
  <c r="O66" i="43" s="1"/>
  <c r="J66" i="43"/>
  <c r="E66" i="43"/>
  <c r="N65" i="43"/>
  <c r="M65" i="43"/>
  <c r="O65" i="43" s="1"/>
  <c r="J65" i="43"/>
  <c r="E65" i="43"/>
  <c r="N64" i="43"/>
  <c r="M64" i="43"/>
  <c r="O64" i="43" s="1"/>
  <c r="J64" i="43"/>
  <c r="E64" i="43"/>
  <c r="N63" i="43"/>
  <c r="M63" i="43"/>
  <c r="O63" i="43" s="1"/>
  <c r="J63" i="43"/>
  <c r="E63" i="43"/>
  <c r="N62" i="43"/>
  <c r="M62" i="43"/>
  <c r="O62" i="43" s="1"/>
  <c r="J62" i="43"/>
  <c r="E62" i="43"/>
  <c r="N61" i="43"/>
  <c r="M61" i="43"/>
  <c r="O61" i="43" s="1"/>
  <c r="J61" i="43"/>
  <c r="E61" i="43"/>
  <c r="N60" i="43"/>
  <c r="M60" i="43"/>
  <c r="O60" i="43" s="1"/>
  <c r="J60" i="43"/>
  <c r="E60" i="43"/>
  <c r="N59" i="43"/>
  <c r="M59" i="43"/>
  <c r="O59" i="43" s="1"/>
  <c r="J59" i="43"/>
  <c r="E59" i="43"/>
  <c r="N58" i="43"/>
  <c r="M58" i="43"/>
  <c r="O58" i="43" s="1"/>
  <c r="J58" i="43"/>
  <c r="E58" i="43"/>
  <c r="N57" i="43"/>
  <c r="M57" i="43"/>
  <c r="O57" i="43" s="1"/>
  <c r="J57" i="43"/>
  <c r="E57" i="43"/>
  <c r="N56" i="43"/>
  <c r="M56" i="43"/>
  <c r="O56" i="43" s="1"/>
  <c r="J56" i="43"/>
  <c r="E56" i="43"/>
  <c r="N55" i="43"/>
  <c r="M55" i="43"/>
  <c r="O55" i="43" s="1"/>
  <c r="J55" i="43"/>
  <c r="E55" i="43"/>
  <c r="N54" i="43"/>
  <c r="M54" i="43"/>
  <c r="O54" i="43" s="1"/>
  <c r="J54" i="43"/>
  <c r="E54" i="43"/>
  <c r="N53" i="43"/>
  <c r="M53" i="43"/>
  <c r="O53" i="43" s="1"/>
  <c r="J53" i="43"/>
  <c r="E53" i="43"/>
  <c r="N52" i="43"/>
  <c r="M52" i="43"/>
  <c r="O52" i="43" s="1"/>
  <c r="J52" i="43"/>
  <c r="E52" i="43"/>
  <c r="F48" i="43"/>
  <c r="D219" i="43" s="1"/>
  <c r="G29" i="43"/>
  <c r="E29" i="43"/>
  <c r="D223" i="43" s="1"/>
  <c r="C29" i="43"/>
  <c r="D222" i="43" s="1"/>
  <c r="I24" i="43"/>
  <c r="C220" i="43" s="1"/>
  <c r="H24" i="43"/>
  <c r="C221" i="43" s="1"/>
  <c r="G24" i="43"/>
  <c r="E24" i="43"/>
  <c r="C24" i="43"/>
  <c r="F23" i="43"/>
  <c r="J23" i="43" s="1"/>
  <c r="D23" i="43"/>
  <c r="F22" i="43"/>
  <c r="J22" i="43" s="1"/>
  <c r="D22" i="43"/>
  <c r="F21" i="43"/>
  <c r="D21" i="43"/>
  <c r="J21" i="43" s="1"/>
  <c r="J20" i="43"/>
  <c r="F20" i="43"/>
  <c r="D20" i="43"/>
  <c r="F19" i="43"/>
  <c r="J19" i="43" s="1"/>
  <c r="D19" i="43"/>
  <c r="F18" i="43"/>
  <c r="J18" i="43" s="1"/>
  <c r="D18" i="43"/>
  <c r="F17" i="43"/>
  <c r="D17" i="43"/>
  <c r="J17" i="43" s="1"/>
  <c r="J16" i="43"/>
  <c r="F16" i="43"/>
  <c r="D16" i="43"/>
  <c r="D24" i="43" s="1"/>
  <c r="C222" i="43" s="1"/>
  <c r="F15" i="43"/>
  <c r="J15" i="43" s="1"/>
  <c r="J24" i="43" s="1"/>
  <c r="C230" i="43" s="1"/>
  <c r="D15" i="43"/>
  <c r="C9" i="43"/>
  <c r="C8" i="43"/>
  <c r="C7" i="43"/>
  <c r="G4" i="43"/>
  <c r="F4" i="43"/>
  <c r="C231" i="43" s="1"/>
  <c r="E4" i="43"/>
  <c r="D4" i="43"/>
  <c r="C4" i="43"/>
  <c r="B4" i="43"/>
  <c r="D227" i="42"/>
  <c r="D226" i="42"/>
  <c r="E216" i="42"/>
  <c r="D224" i="42" s="1"/>
  <c r="I204" i="42"/>
  <c r="H204" i="42"/>
  <c r="G204" i="42"/>
  <c r="F204" i="42"/>
  <c r="D228" i="42" s="1"/>
  <c r="D204" i="42"/>
  <c r="C204" i="42"/>
  <c r="N202" i="42"/>
  <c r="M202" i="42"/>
  <c r="O202" i="42" s="1"/>
  <c r="J202" i="42"/>
  <c r="E202" i="42"/>
  <c r="N201" i="42"/>
  <c r="M201" i="42"/>
  <c r="O201" i="42" s="1"/>
  <c r="J201" i="42"/>
  <c r="E201" i="42"/>
  <c r="N200" i="42"/>
  <c r="M200" i="42"/>
  <c r="O200" i="42" s="1"/>
  <c r="J200" i="42"/>
  <c r="E200" i="42"/>
  <c r="N199" i="42"/>
  <c r="M199" i="42"/>
  <c r="O199" i="42" s="1"/>
  <c r="J199" i="42"/>
  <c r="E199" i="42"/>
  <c r="N198" i="42"/>
  <c r="M198" i="42"/>
  <c r="O198" i="42" s="1"/>
  <c r="J198" i="42"/>
  <c r="E198" i="42"/>
  <c r="N197" i="42"/>
  <c r="M197" i="42"/>
  <c r="O197" i="42" s="1"/>
  <c r="J197" i="42"/>
  <c r="E197" i="42"/>
  <c r="N196" i="42"/>
  <c r="M196" i="42"/>
  <c r="O196" i="42" s="1"/>
  <c r="J196" i="42"/>
  <c r="E196" i="42"/>
  <c r="N195" i="42"/>
  <c r="M195" i="42"/>
  <c r="O195" i="42" s="1"/>
  <c r="J195" i="42"/>
  <c r="E195" i="42"/>
  <c r="N194" i="42"/>
  <c r="M194" i="42"/>
  <c r="O194" i="42" s="1"/>
  <c r="J194" i="42"/>
  <c r="E194" i="42"/>
  <c r="N193" i="42"/>
  <c r="M193" i="42"/>
  <c r="O193" i="42" s="1"/>
  <c r="J193" i="42"/>
  <c r="E193" i="42"/>
  <c r="N192" i="42"/>
  <c r="M192" i="42"/>
  <c r="O192" i="42" s="1"/>
  <c r="J192" i="42"/>
  <c r="E192" i="42"/>
  <c r="N191" i="42"/>
  <c r="M191" i="42"/>
  <c r="O191" i="42" s="1"/>
  <c r="J191" i="42"/>
  <c r="E191" i="42"/>
  <c r="O190" i="42"/>
  <c r="N190" i="42"/>
  <c r="M190" i="42"/>
  <c r="J190" i="42"/>
  <c r="E190" i="42"/>
  <c r="N189" i="42"/>
  <c r="M189" i="42"/>
  <c r="O189" i="42" s="1"/>
  <c r="J189" i="42"/>
  <c r="E189" i="42"/>
  <c r="N188" i="42"/>
  <c r="M188" i="42"/>
  <c r="O188" i="42" s="1"/>
  <c r="J188" i="42"/>
  <c r="E188" i="42"/>
  <c r="O187" i="42"/>
  <c r="N187" i="42"/>
  <c r="M187" i="42"/>
  <c r="J187" i="42"/>
  <c r="E187" i="42"/>
  <c r="N186" i="42"/>
  <c r="M186" i="42"/>
  <c r="O186" i="42" s="1"/>
  <c r="J186" i="42"/>
  <c r="E186" i="42"/>
  <c r="N185" i="42"/>
  <c r="M185" i="42"/>
  <c r="O185" i="42" s="1"/>
  <c r="J185" i="42"/>
  <c r="E185" i="42"/>
  <c r="N184" i="42"/>
  <c r="M184" i="42"/>
  <c r="O184" i="42" s="1"/>
  <c r="J184" i="42"/>
  <c r="E184" i="42"/>
  <c r="N183" i="42"/>
  <c r="M183" i="42"/>
  <c r="O183" i="42" s="1"/>
  <c r="J183" i="42"/>
  <c r="E183" i="42"/>
  <c r="N182" i="42"/>
  <c r="M182" i="42"/>
  <c r="O182" i="42" s="1"/>
  <c r="J182" i="42"/>
  <c r="E182" i="42"/>
  <c r="N181" i="42"/>
  <c r="M181" i="42"/>
  <c r="O181" i="42" s="1"/>
  <c r="J181" i="42"/>
  <c r="E181" i="42"/>
  <c r="N180" i="42"/>
  <c r="M180" i="42"/>
  <c r="O180" i="42" s="1"/>
  <c r="J180" i="42"/>
  <c r="E180" i="42"/>
  <c r="N179" i="42"/>
  <c r="M179" i="42"/>
  <c r="O179" i="42" s="1"/>
  <c r="J179" i="42"/>
  <c r="E179" i="42"/>
  <c r="O178" i="42"/>
  <c r="N178" i="42"/>
  <c r="M178" i="42"/>
  <c r="J178" i="42"/>
  <c r="E178" i="42"/>
  <c r="N177" i="42"/>
  <c r="M177" i="42"/>
  <c r="O177" i="42" s="1"/>
  <c r="J177" i="42"/>
  <c r="E177" i="42"/>
  <c r="N176" i="42"/>
  <c r="M176" i="42"/>
  <c r="O176" i="42" s="1"/>
  <c r="J176" i="42"/>
  <c r="E176" i="42"/>
  <c r="N175" i="42"/>
  <c r="M175" i="42"/>
  <c r="O175" i="42" s="1"/>
  <c r="J175" i="42"/>
  <c r="E175" i="42"/>
  <c r="N174" i="42"/>
  <c r="M174" i="42"/>
  <c r="O174" i="42" s="1"/>
  <c r="J174" i="42"/>
  <c r="E174" i="42"/>
  <c r="N173" i="42"/>
  <c r="M173" i="42"/>
  <c r="O173" i="42" s="1"/>
  <c r="J173" i="42"/>
  <c r="E173" i="42"/>
  <c r="N172" i="42"/>
  <c r="M172" i="42"/>
  <c r="O172" i="42" s="1"/>
  <c r="J172" i="42"/>
  <c r="E172" i="42"/>
  <c r="N171" i="42"/>
  <c r="M171" i="42"/>
  <c r="O171" i="42" s="1"/>
  <c r="J171" i="42"/>
  <c r="E171" i="42"/>
  <c r="N170" i="42"/>
  <c r="M170" i="42"/>
  <c r="O170" i="42" s="1"/>
  <c r="J170" i="42"/>
  <c r="E170" i="42"/>
  <c r="N169" i="42"/>
  <c r="M169" i="42"/>
  <c r="O169" i="42" s="1"/>
  <c r="J169" i="42"/>
  <c r="E169" i="42"/>
  <c r="N168" i="42"/>
  <c r="M168" i="42"/>
  <c r="O168" i="42" s="1"/>
  <c r="J168" i="42"/>
  <c r="E168" i="42"/>
  <c r="N167" i="42"/>
  <c r="M167" i="42"/>
  <c r="O167" i="42" s="1"/>
  <c r="J167" i="42"/>
  <c r="E167" i="42"/>
  <c r="N166" i="42"/>
  <c r="M166" i="42"/>
  <c r="O166" i="42" s="1"/>
  <c r="J166" i="42"/>
  <c r="E166" i="42"/>
  <c r="N165" i="42"/>
  <c r="M165" i="42"/>
  <c r="O165" i="42" s="1"/>
  <c r="J165" i="42"/>
  <c r="E165" i="42"/>
  <c r="N164" i="42"/>
  <c r="M164" i="42"/>
  <c r="O164" i="42" s="1"/>
  <c r="J164" i="42"/>
  <c r="E164" i="42"/>
  <c r="O163" i="42"/>
  <c r="N163" i="42"/>
  <c r="M163" i="42"/>
  <c r="J163" i="42"/>
  <c r="E163" i="42"/>
  <c r="N162" i="42"/>
  <c r="M162" i="42"/>
  <c r="O162" i="42" s="1"/>
  <c r="J162" i="42"/>
  <c r="E162" i="42"/>
  <c r="N161" i="42"/>
  <c r="M161" i="42"/>
  <c r="O161" i="42" s="1"/>
  <c r="J161" i="42"/>
  <c r="E161" i="42"/>
  <c r="O160" i="42"/>
  <c r="N160" i="42"/>
  <c r="M160" i="42"/>
  <c r="J160" i="42"/>
  <c r="E160" i="42"/>
  <c r="N159" i="42"/>
  <c r="M159" i="42"/>
  <c r="O159" i="42" s="1"/>
  <c r="J159" i="42"/>
  <c r="E159" i="42"/>
  <c r="N158" i="42"/>
  <c r="M158" i="42"/>
  <c r="O158" i="42" s="1"/>
  <c r="J158" i="42"/>
  <c r="E158" i="42"/>
  <c r="N157" i="42"/>
  <c r="M157" i="42"/>
  <c r="O157" i="42" s="1"/>
  <c r="J157" i="42"/>
  <c r="E157" i="42"/>
  <c r="N156" i="42"/>
  <c r="M156" i="42"/>
  <c r="O156" i="42" s="1"/>
  <c r="J156" i="42"/>
  <c r="E156" i="42"/>
  <c r="N155" i="42"/>
  <c r="M155" i="42"/>
  <c r="O155" i="42" s="1"/>
  <c r="J155" i="42"/>
  <c r="E155" i="42"/>
  <c r="N154" i="42"/>
  <c r="M154" i="42"/>
  <c r="O154" i="42" s="1"/>
  <c r="J154" i="42"/>
  <c r="E154" i="42"/>
  <c r="N153" i="42"/>
  <c r="M153" i="42"/>
  <c r="O153" i="42" s="1"/>
  <c r="J153" i="42"/>
  <c r="E153" i="42"/>
  <c r="N152" i="42"/>
  <c r="M152" i="42"/>
  <c r="O152" i="42" s="1"/>
  <c r="J152" i="42"/>
  <c r="E152" i="42"/>
  <c r="N151" i="42"/>
  <c r="M151" i="42"/>
  <c r="O151" i="42" s="1"/>
  <c r="J151" i="42"/>
  <c r="E151" i="42"/>
  <c r="N150" i="42"/>
  <c r="M150" i="42"/>
  <c r="O150" i="42" s="1"/>
  <c r="J150" i="42"/>
  <c r="E150" i="42"/>
  <c r="N149" i="42"/>
  <c r="M149" i="42"/>
  <c r="O149" i="42" s="1"/>
  <c r="J149" i="42"/>
  <c r="E149" i="42"/>
  <c r="O148" i="42"/>
  <c r="N148" i="42"/>
  <c r="M148" i="42"/>
  <c r="J148" i="42"/>
  <c r="E148" i="42"/>
  <c r="O147" i="42"/>
  <c r="N147" i="42"/>
  <c r="M147" i="42"/>
  <c r="J147" i="42"/>
  <c r="E147" i="42"/>
  <c r="N146" i="42"/>
  <c r="M146" i="42"/>
  <c r="O146" i="42" s="1"/>
  <c r="J146" i="42"/>
  <c r="E146" i="42"/>
  <c r="N145" i="42"/>
  <c r="M145" i="42"/>
  <c r="O145" i="42" s="1"/>
  <c r="J145" i="42"/>
  <c r="E145" i="42"/>
  <c r="N144" i="42"/>
  <c r="M144" i="42"/>
  <c r="O144" i="42" s="1"/>
  <c r="J144" i="42"/>
  <c r="E144" i="42"/>
  <c r="N143" i="42"/>
  <c r="M143" i="42"/>
  <c r="O143" i="42" s="1"/>
  <c r="J143" i="42"/>
  <c r="E143" i="42"/>
  <c r="N142" i="42"/>
  <c r="M142" i="42"/>
  <c r="O142" i="42" s="1"/>
  <c r="J142" i="42"/>
  <c r="E142" i="42"/>
  <c r="N141" i="42"/>
  <c r="M141" i="42"/>
  <c r="O141" i="42" s="1"/>
  <c r="J141" i="42"/>
  <c r="E141" i="42"/>
  <c r="N140" i="42"/>
  <c r="M140" i="42"/>
  <c r="O140" i="42" s="1"/>
  <c r="J140" i="42"/>
  <c r="E140" i="42"/>
  <c r="N139" i="42"/>
  <c r="M139" i="42"/>
  <c r="O139" i="42" s="1"/>
  <c r="J139" i="42"/>
  <c r="E139" i="42"/>
  <c r="N138" i="42"/>
  <c r="M138" i="42"/>
  <c r="O138" i="42" s="1"/>
  <c r="J138" i="42"/>
  <c r="E138" i="42"/>
  <c r="N137" i="42"/>
  <c r="M137" i="42"/>
  <c r="O137" i="42" s="1"/>
  <c r="J137" i="42"/>
  <c r="E137" i="42"/>
  <c r="N136" i="42"/>
  <c r="M136" i="42"/>
  <c r="O136" i="42" s="1"/>
  <c r="J136" i="42"/>
  <c r="E136" i="42"/>
  <c r="N135" i="42"/>
  <c r="M135" i="42"/>
  <c r="O135" i="42" s="1"/>
  <c r="J135" i="42"/>
  <c r="E135" i="42"/>
  <c r="N134" i="42"/>
  <c r="M134" i="42"/>
  <c r="O134" i="42" s="1"/>
  <c r="J134" i="42"/>
  <c r="E134" i="42"/>
  <c r="N133" i="42"/>
  <c r="M133" i="42"/>
  <c r="O133" i="42" s="1"/>
  <c r="J133" i="42"/>
  <c r="E133" i="42"/>
  <c r="N132" i="42"/>
  <c r="M132" i="42"/>
  <c r="O132" i="42" s="1"/>
  <c r="J132" i="42"/>
  <c r="E132" i="42"/>
  <c r="N131" i="42"/>
  <c r="M131" i="42"/>
  <c r="O131" i="42" s="1"/>
  <c r="J131" i="42"/>
  <c r="E131" i="42"/>
  <c r="N130" i="42"/>
  <c r="M130" i="42"/>
  <c r="O130" i="42" s="1"/>
  <c r="J130" i="42"/>
  <c r="E130" i="42"/>
  <c r="N129" i="42"/>
  <c r="M129" i="42"/>
  <c r="O129" i="42" s="1"/>
  <c r="J129" i="42"/>
  <c r="E129" i="42"/>
  <c r="N128" i="42"/>
  <c r="M128" i="42"/>
  <c r="O128" i="42" s="1"/>
  <c r="J128" i="42"/>
  <c r="E128" i="42"/>
  <c r="N127" i="42"/>
  <c r="M127" i="42"/>
  <c r="O127" i="42" s="1"/>
  <c r="J127" i="42"/>
  <c r="E127" i="42"/>
  <c r="N126" i="42"/>
  <c r="M126" i="42"/>
  <c r="O126" i="42" s="1"/>
  <c r="J126" i="42"/>
  <c r="E126" i="42"/>
  <c r="N125" i="42"/>
  <c r="M125" i="42"/>
  <c r="O125" i="42" s="1"/>
  <c r="J125" i="42"/>
  <c r="E125" i="42"/>
  <c r="N124" i="42"/>
  <c r="M124" i="42"/>
  <c r="O124" i="42" s="1"/>
  <c r="J124" i="42"/>
  <c r="E124" i="42"/>
  <c r="N123" i="42"/>
  <c r="M123" i="42"/>
  <c r="O123" i="42" s="1"/>
  <c r="J123" i="42"/>
  <c r="E123" i="42"/>
  <c r="N122" i="42"/>
  <c r="M122" i="42"/>
  <c r="O122" i="42" s="1"/>
  <c r="J122" i="42"/>
  <c r="E122" i="42"/>
  <c r="N121" i="42"/>
  <c r="M121" i="42"/>
  <c r="O121" i="42" s="1"/>
  <c r="J121" i="42"/>
  <c r="E121" i="42"/>
  <c r="N120" i="42"/>
  <c r="M120" i="42"/>
  <c r="O120" i="42" s="1"/>
  <c r="J120" i="42"/>
  <c r="E120" i="42"/>
  <c r="N119" i="42"/>
  <c r="M119" i="42"/>
  <c r="O119" i="42" s="1"/>
  <c r="J119" i="42"/>
  <c r="E119" i="42"/>
  <c r="N118" i="42"/>
  <c r="M118" i="42"/>
  <c r="O118" i="42" s="1"/>
  <c r="J118" i="42"/>
  <c r="E118" i="42"/>
  <c r="N117" i="42"/>
  <c r="M117" i="42"/>
  <c r="O117" i="42" s="1"/>
  <c r="J117" i="42"/>
  <c r="E117" i="42"/>
  <c r="N116" i="42"/>
  <c r="M116" i="42"/>
  <c r="O116" i="42" s="1"/>
  <c r="J116" i="42"/>
  <c r="E116" i="42"/>
  <c r="N115" i="42"/>
  <c r="M115" i="42"/>
  <c r="O115" i="42" s="1"/>
  <c r="J115" i="42"/>
  <c r="E115" i="42"/>
  <c r="N114" i="42"/>
  <c r="M114" i="42"/>
  <c r="O114" i="42" s="1"/>
  <c r="J114" i="42"/>
  <c r="E114" i="42"/>
  <c r="N113" i="42"/>
  <c r="M113" i="42"/>
  <c r="O113" i="42" s="1"/>
  <c r="J113" i="42"/>
  <c r="E113" i="42"/>
  <c r="N112" i="42"/>
  <c r="M112" i="42"/>
  <c r="O112" i="42" s="1"/>
  <c r="J112" i="42"/>
  <c r="E112" i="42"/>
  <c r="N111" i="42"/>
  <c r="M111" i="42"/>
  <c r="O111" i="42" s="1"/>
  <c r="J111" i="42"/>
  <c r="E111" i="42"/>
  <c r="N110" i="42"/>
  <c r="M110" i="42"/>
  <c r="O110" i="42" s="1"/>
  <c r="J110" i="42"/>
  <c r="E110" i="42"/>
  <c r="N109" i="42"/>
  <c r="M109" i="42"/>
  <c r="O109" i="42" s="1"/>
  <c r="J109" i="42"/>
  <c r="E109" i="42"/>
  <c r="N108" i="42"/>
  <c r="M108" i="42"/>
  <c r="O108" i="42" s="1"/>
  <c r="J108" i="42"/>
  <c r="E108" i="42"/>
  <c r="N107" i="42"/>
  <c r="M107" i="42"/>
  <c r="O107" i="42" s="1"/>
  <c r="J107" i="42"/>
  <c r="E107" i="42"/>
  <c r="N106" i="42"/>
  <c r="M106" i="42"/>
  <c r="O106" i="42" s="1"/>
  <c r="J106" i="42"/>
  <c r="E106" i="42"/>
  <c r="N105" i="42"/>
  <c r="M105" i="42"/>
  <c r="O105" i="42" s="1"/>
  <c r="J105" i="42"/>
  <c r="E105" i="42"/>
  <c r="N104" i="42"/>
  <c r="M104" i="42"/>
  <c r="O104" i="42" s="1"/>
  <c r="J104" i="42"/>
  <c r="E104" i="42"/>
  <c r="N103" i="42"/>
  <c r="M103" i="42"/>
  <c r="O103" i="42" s="1"/>
  <c r="J103" i="42"/>
  <c r="E103" i="42"/>
  <c r="N102" i="42"/>
  <c r="M102" i="42"/>
  <c r="O102" i="42" s="1"/>
  <c r="J102" i="42"/>
  <c r="E102" i="42"/>
  <c r="N101" i="42"/>
  <c r="M101" i="42"/>
  <c r="O101" i="42" s="1"/>
  <c r="J101" i="42"/>
  <c r="E101" i="42"/>
  <c r="N100" i="42"/>
  <c r="M100" i="42"/>
  <c r="O100" i="42" s="1"/>
  <c r="J100" i="42"/>
  <c r="E100" i="42"/>
  <c r="O99" i="42"/>
  <c r="N99" i="42"/>
  <c r="M99" i="42"/>
  <c r="J99" i="42"/>
  <c r="E99" i="42"/>
  <c r="N98" i="42"/>
  <c r="M98" i="42"/>
  <c r="O98" i="42" s="1"/>
  <c r="J98" i="42"/>
  <c r="E98" i="42"/>
  <c r="N97" i="42"/>
  <c r="M97" i="42"/>
  <c r="O97" i="42" s="1"/>
  <c r="J97" i="42"/>
  <c r="E97" i="42"/>
  <c r="N96" i="42"/>
  <c r="M96" i="42"/>
  <c r="O96" i="42" s="1"/>
  <c r="J96" i="42"/>
  <c r="E96" i="42"/>
  <c r="N95" i="42"/>
  <c r="M95" i="42"/>
  <c r="O95" i="42" s="1"/>
  <c r="J95" i="42"/>
  <c r="E95" i="42"/>
  <c r="N94" i="42"/>
  <c r="M94" i="42"/>
  <c r="O94" i="42" s="1"/>
  <c r="J94" i="42"/>
  <c r="E94" i="42"/>
  <c r="N93" i="42"/>
  <c r="M93" i="42"/>
  <c r="O93" i="42" s="1"/>
  <c r="J93" i="42"/>
  <c r="E93" i="42"/>
  <c r="N92" i="42"/>
  <c r="M92" i="42"/>
  <c r="O92" i="42" s="1"/>
  <c r="J92" i="42"/>
  <c r="E92" i="42"/>
  <c r="N91" i="42"/>
  <c r="M91" i="42"/>
  <c r="O91" i="42" s="1"/>
  <c r="J91" i="42"/>
  <c r="E91" i="42"/>
  <c r="N90" i="42"/>
  <c r="M90" i="42"/>
  <c r="O90" i="42" s="1"/>
  <c r="J90" i="42"/>
  <c r="E90" i="42"/>
  <c r="N89" i="42"/>
  <c r="M89" i="42"/>
  <c r="O89" i="42" s="1"/>
  <c r="J89" i="42"/>
  <c r="E89" i="42"/>
  <c r="N88" i="42"/>
  <c r="M88" i="42"/>
  <c r="O88" i="42" s="1"/>
  <c r="J88" i="42"/>
  <c r="E88" i="42"/>
  <c r="N87" i="42"/>
  <c r="M87" i="42"/>
  <c r="O87" i="42" s="1"/>
  <c r="J87" i="42"/>
  <c r="E87" i="42"/>
  <c r="N86" i="42"/>
  <c r="M86" i="42"/>
  <c r="O86" i="42" s="1"/>
  <c r="J86" i="42"/>
  <c r="E86" i="42"/>
  <c r="N85" i="42"/>
  <c r="M85" i="42"/>
  <c r="O85" i="42" s="1"/>
  <c r="J85" i="42"/>
  <c r="E85" i="42"/>
  <c r="N84" i="42"/>
  <c r="M84" i="42"/>
  <c r="O84" i="42" s="1"/>
  <c r="J84" i="42"/>
  <c r="E84" i="42"/>
  <c r="N83" i="42"/>
  <c r="M83" i="42"/>
  <c r="O83" i="42" s="1"/>
  <c r="J83" i="42"/>
  <c r="E83" i="42"/>
  <c r="N82" i="42"/>
  <c r="M82" i="42"/>
  <c r="O82" i="42" s="1"/>
  <c r="J82" i="42"/>
  <c r="E82" i="42"/>
  <c r="N81" i="42"/>
  <c r="M81" i="42"/>
  <c r="O81" i="42" s="1"/>
  <c r="J81" i="42"/>
  <c r="E81" i="42"/>
  <c r="N80" i="42"/>
  <c r="M80" i="42"/>
  <c r="O80" i="42" s="1"/>
  <c r="J80" i="42"/>
  <c r="E80" i="42"/>
  <c r="N79" i="42"/>
  <c r="M79" i="42"/>
  <c r="O79" i="42" s="1"/>
  <c r="J79" i="42"/>
  <c r="E79" i="42"/>
  <c r="N78" i="42"/>
  <c r="M78" i="42"/>
  <c r="O78" i="42" s="1"/>
  <c r="J78" i="42"/>
  <c r="E78" i="42"/>
  <c r="N77" i="42"/>
  <c r="M77" i="42"/>
  <c r="O77" i="42" s="1"/>
  <c r="J77" i="42"/>
  <c r="E77" i="42"/>
  <c r="N76" i="42"/>
  <c r="M76" i="42"/>
  <c r="O76" i="42" s="1"/>
  <c r="J76" i="42"/>
  <c r="E76" i="42"/>
  <c r="N75" i="42"/>
  <c r="M75" i="42"/>
  <c r="O75" i="42" s="1"/>
  <c r="J75" i="42"/>
  <c r="E75" i="42"/>
  <c r="N74" i="42"/>
  <c r="M74" i="42"/>
  <c r="O74" i="42" s="1"/>
  <c r="J74" i="42"/>
  <c r="E74" i="42"/>
  <c r="N73" i="42"/>
  <c r="M73" i="42"/>
  <c r="O73" i="42" s="1"/>
  <c r="J73" i="42"/>
  <c r="E73" i="42"/>
  <c r="N72" i="42"/>
  <c r="M72" i="42"/>
  <c r="O72" i="42" s="1"/>
  <c r="J72" i="42"/>
  <c r="E72" i="42"/>
  <c r="N71" i="42"/>
  <c r="M71" i="42"/>
  <c r="O71" i="42" s="1"/>
  <c r="J71" i="42"/>
  <c r="E71" i="42"/>
  <c r="N70" i="42"/>
  <c r="M70" i="42"/>
  <c r="O70" i="42" s="1"/>
  <c r="J70" i="42"/>
  <c r="E70" i="42"/>
  <c r="N69" i="42"/>
  <c r="M69" i="42"/>
  <c r="O69" i="42" s="1"/>
  <c r="J69" i="42"/>
  <c r="E69" i="42"/>
  <c r="N68" i="42"/>
  <c r="M68" i="42"/>
  <c r="O68" i="42" s="1"/>
  <c r="J68" i="42"/>
  <c r="E68" i="42"/>
  <c r="N67" i="42"/>
  <c r="M67" i="42"/>
  <c r="O67" i="42" s="1"/>
  <c r="J67" i="42"/>
  <c r="E67" i="42"/>
  <c r="N66" i="42"/>
  <c r="M66" i="42"/>
  <c r="O66" i="42" s="1"/>
  <c r="J66" i="42"/>
  <c r="E66" i="42"/>
  <c r="N65" i="42"/>
  <c r="M65" i="42"/>
  <c r="O65" i="42" s="1"/>
  <c r="J65" i="42"/>
  <c r="E65" i="42"/>
  <c r="N64" i="42"/>
  <c r="M64" i="42"/>
  <c r="O64" i="42" s="1"/>
  <c r="J64" i="42"/>
  <c r="E64" i="42"/>
  <c r="N63" i="42"/>
  <c r="M63" i="42"/>
  <c r="O63" i="42" s="1"/>
  <c r="J63" i="42"/>
  <c r="E63" i="42"/>
  <c r="N62" i="42"/>
  <c r="M62" i="42"/>
  <c r="O62" i="42" s="1"/>
  <c r="J62" i="42"/>
  <c r="E62" i="42"/>
  <c r="N61" i="42"/>
  <c r="M61" i="42"/>
  <c r="O61" i="42" s="1"/>
  <c r="J61" i="42"/>
  <c r="E61" i="42"/>
  <c r="N60" i="42"/>
  <c r="M60" i="42"/>
  <c r="O60" i="42" s="1"/>
  <c r="J60" i="42"/>
  <c r="E60" i="42"/>
  <c r="N59" i="42"/>
  <c r="M59" i="42"/>
  <c r="O59" i="42" s="1"/>
  <c r="J59" i="42"/>
  <c r="E59" i="42"/>
  <c r="N58" i="42"/>
  <c r="M58" i="42"/>
  <c r="O58" i="42" s="1"/>
  <c r="J58" i="42"/>
  <c r="E58" i="42"/>
  <c r="N57" i="42"/>
  <c r="M57" i="42"/>
  <c r="O57" i="42" s="1"/>
  <c r="J57" i="42"/>
  <c r="E57" i="42"/>
  <c r="N56" i="42"/>
  <c r="M56" i="42"/>
  <c r="O56" i="42" s="1"/>
  <c r="J56" i="42"/>
  <c r="E56" i="42"/>
  <c r="N55" i="42"/>
  <c r="M55" i="42"/>
  <c r="O55" i="42" s="1"/>
  <c r="J55" i="42"/>
  <c r="E55" i="42"/>
  <c r="N54" i="42"/>
  <c r="M54" i="42"/>
  <c r="O54" i="42" s="1"/>
  <c r="J54" i="42"/>
  <c r="E54" i="42"/>
  <c r="N53" i="42"/>
  <c r="M53" i="42"/>
  <c r="O53" i="42" s="1"/>
  <c r="J53" i="42"/>
  <c r="E53" i="42"/>
  <c r="N52" i="42"/>
  <c r="M52" i="42"/>
  <c r="O52" i="42" s="1"/>
  <c r="J52" i="42"/>
  <c r="E52" i="42"/>
  <c r="F48" i="42"/>
  <c r="D219" i="42" s="1"/>
  <c r="G29" i="42"/>
  <c r="E29" i="42"/>
  <c r="D223" i="42" s="1"/>
  <c r="C29" i="42"/>
  <c r="D222" i="42" s="1"/>
  <c r="I24" i="42"/>
  <c r="C220" i="42" s="1"/>
  <c r="H24" i="42"/>
  <c r="C221" i="42" s="1"/>
  <c r="G24" i="42"/>
  <c r="E24" i="42"/>
  <c r="C24" i="42"/>
  <c r="F23" i="42"/>
  <c r="J23" i="42" s="1"/>
  <c r="D23" i="42"/>
  <c r="F22" i="42"/>
  <c r="D22" i="42"/>
  <c r="J22" i="42" s="1"/>
  <c r="F21" i="42"/>
  <c r="D21" i="42"/>
  <c r="J21" i="42" s="1"/>
  <c r="F20" i="42"/>
  <c r="D20" i="42"/>
  <c r="J20" i="42" s="1"/>
  <c r="F19" i="42"/>
  <c r="J19" i="42" s="1"/>
  <c r="D19" i="42"/>
  <c r="F18" i="42"/>
  <c r="D18" i="42"/>
  <c r="J18" i="42" s="1"/>
  <c r="F17" i="42"/>
  <c r="D17" i="42"/>
  <c r="J17" i="42" s="1"/>
  <c r="F16" i="42"/>
  <c r="D16" i="42"/>
  <c r="J16" i="42" s="1"/>
  <c r="F15" i="42"/>
  <c r="F24" i="42" s="1"/>
  <c r="C223" i="42" s="1"/>
  <c r="D15" i="42"/>
  <c r="C9" i="42"/>
  <c r="C8" i="42"/>
  <c r="C7" i="42"/>
  <c r="G4" i="42"/>
  <c r="F4" i="42"/>
  <c r="C231" i="42" s="1"/>
  <c r="E4" i="42"/>
  <c r="D4" i="42"/>
  <c r="C4" i="42"/>
  <c r="B4" i="42"/>
  <c r="D228" i="41"/>
  <c r="D227" i="41"/>
  <c r="D226" i="41"/>
  <c r="E216" i="41"/>
  <c r="D224" i="41" s="1"/>
  <c r="M204" i="41"/>
  <c r="I204" i="41"/>
  <c r="H204" i="41"/>
  <c r="D221" i="41" s="1"/>
  <c r="G204" i="41"/>
  <c r="F204" i="41"/>
  <c r="D204" i="41"/>
  <c r="D220" i="41" s="1"/>
  <c r="C204" i="41"/>
  <c r="N202" i="41"/>
  <c r="M202" i="41"/>
  <c r="O202" i="41" s="1"/>
  <c r="J202" i="41"/>
  <c r="E202" i="41"/>
  <c r="O201" i="41"/>
  <c r="N201" i="41"/>
  <c r="M201" i="41"/>
  <c r="J201" i="41"/>
  <c r="E201" i="41"/>
  <c r="N200" i="41"/>
  <c r="M200" i="41"/>
  <c r="O200" i="41" s="1"/>
  <c r="J200" i="41"/>
  <c r="E200" i="41"/>
  <c r="N199" i="41"/>
  <c r="M199" i="41"/>
  <c r="O199" i="41" s="1"/>
  <c r="J199" i="41"/>
  <c r="E199" i="41"/>
  <c r="N198" i="41"/>
  <c r="M198" i="41"/>
  <c r="O198" i="41" s="1"/>
  <c r="J198" i="41"/>
  <c r="E198" i="41"/>
  <c r="N197" i="41"/>
  <c r="M197" i="41"/>
  <c r="O197" i="41" s="1"/>
  <c r="J197" i="41"/>
  <c r="E197" i="41"/>
  <c r="O196" i="41"/>
  <c r="N196" i="41"/>
  <c r="M196" i="41"/>
  <c r="J196" i="41"/>
  <c r="E196" i="41"/>
  <c r="N195" i="41"/>
  <c r="M195" i="41"/>
  <c r="O195" i="41" s="1"/>
  <c r="J195" i="41"/>
  <c r="E195" i="41"/>
  <c r="N194" i="41"/>
  <c r="M194" i="41"/>
  <c r="O194" i="41" s="1"/>
  <c r="J194" i="41"/>
  <c r="E194" i="41"/>
  <c r="N193" i="41"/>
  <c r="M193" i="41"/>
  <c r="O193" i="41" s="1"/>
  <c r="J193" i="41"/>
  <c r="E193" i="41"/>
  <c r="N192" i="41"/>
  <c r="M192" i="41"/>
  <c r="O192" i="41" s="1"/>
  <c r="J192" i="41"/>
  <c r="E192" i="41"/>
  <c r="N191" i="41"/>
  <c r="M191" i="41"/>
  <c r="O191" i="41" s="1"/>
  <c r="J191" i="41"/>
  <c r="E191" i="41"/>
  <c r="N190" i="41"/>
  <c r="M190" i="41"/>
  <c r="O190" i="41" s="1"/>
  <c r="J190" i="41"/>
  <c r="E190" i="41"/>
  <c r="O189" i="41"/>
  <c r="N189" i="41"/>
  <c r="M189" i="41"/>
  <c r="J189" i="41"/>
  <c r="E189" i="41"/>
  <c r="N188" i="41"/>
  <c r="M188" i="41"/>
  <c r="O188" i="41" s="1"/>
  <c r="J188" i="41"/>
  <c r="E188" i="41"/>
  <c r="N187" i="41"/>
  <c r="M187" i="41"/>
  <c r="O187" i="41" s="1"/>
  <c r="J187" i="41"/>
  <c r="E187" i="41"/>
  <c r="N186" i="41"/>
  <c r="M186" i="41"/>
  <c r="O186" i="41" s="1"/>
  <c r="J186" i="41"/>
  <c r="E186" i="41"/>
  <c r="N185" i="41"/>
  <c r="M185" i="41"/>
  <c r="O185" i="41" s="1"/>
  <c r="J185" i="41"/>
  <c r="E185" i="41"/>
  <c r="O184" i="41"/>
  <c r="N184" i="41"/>
  <c r="M184" i="41"/>
  <c r="J184" i="41"/>
  <c r="E184" i="41"/>
  <c r="O183" i="41"/>
  <c r="N183" i="41"/>
  <c r="M183" i="41"/>
  <c r="J183" i="41"/>
  <c r="E183" i="41"/>
  <c r="N182" i="41"/>
  <c r="M182" i="41"/>
  <c r="O182" i="41" s="1"/>
  <c r="J182" i="41"/>
  <c r="E182" i="41"/>
  <c r="O181" i="41"/>
  <c r="N181" i="41"/>
  <c r="M181" i="41"/>
  <c r="J181" i="41"/>
  <c r="E181" i="41"/>
  <c r="N180" i="41"/>
  <c r="M180" i="41"/>
  <c r="O180" i="41" s="1"/>
  <c r="J180" i="41"/>
  <c r="E180" i="41"/>
  <c r="N179" i="41"/>
  <c r="M179" i="41"/>
  <c r="O179" i="41" s="1"/>
  <c r="J179" i="41"/>
  <c r="E179" i="41"/>
  <c r="N178" i="41"/>
  <c r="M178" i="41"/>
  <c r="O178" i="41" s="1"/>
  <c r="J178" i="41"/>
  <c r="E178" i="41"/>
  <c r="O177" i="41"/>
  <c r="N177" i="41"/>
  <c r="M177" i="41"/>
  <c r="J177" i="41"/>
  <c r="E177" i="41"/>
  <c r="N176" i="41"/>
  <c r="M176" i="41"/>
  <c r="O176" i="41" s="1"/>
  <c r="J176" i="41"/>
  <c r="E176" i="41"/>
  <c r="N175" i="41"/>
  <c r="M175" i="41"/>
  <c r="O175" i="41" s="1"/>
  <c r="J175" i="41"/>
  <c r="E175" i="41"/>
  <c r="N174" i="41"/>
  <c r="M174" i="41"/>
  <c r="O174" i="41" s="1"/>
  <c r="J174" i="41"/>
  <c r="E174" i="41"/>
  <c r="N173" i="41"/>
  <c r="M173" i="41"/>
  <c r="O173" i="41" s="1"/>
  <c r="J173" i="41"/>
  <c r="E173" i="41"/>
  <c r="O172" i="41"/>
  <c r="N172" i="41"/>
  <c r="M172" i="41"/>
  <c r="J172" i="41"/>
  <c r="E172" i="41"/>
  <c r="N171" i="41"/>
  <c r="M171" i="41"/>
  <c r="O171" i="41" s="1"/>
  <c r="J171" i="41"/>
  <c r="E171" i="41"/>
  <c r="N170" i="41"/>
  <c r="M170" i="41"/>
  <c r="O170" i="41" s="1"/>
  <c r="J170" i="41"/>
  <c r="E170" i="41"/>
  <c r="O169" i="41"/>
  <c r="N169" i="41"/>
  <c r="M169" i="41"/>
  <c r="J169" i="41"/>
  <c r="E169" i="41"/>
  <c r="N168" i="41"/>
  <c r="M168" i="41"/>
  <c r="O168" i="41" s="1"/>
  <c r="J168" i="41"/>
  <c r="E168" i="41"/>
  <c r="N167" i="41"/>
  <c r="M167" i="41"/>
  <c r="O167" i="41" s="1"/>
  <c r="J167" i="41"/>
  <c r="E167" i="41"/>
  <c r="N166" i="41"/>
  <c r="M166" i="41"/>
  <c r="O166" i="41" s="1"/>
  <c r="J166" i="41"/>
  <c r="E166" i="41"/>
  <c r="O165" i="41"/>
  <c r="N165" i="41"/>
  <c r="M165" i="41"/>
  <c r="J165" i="41"/>
  <c r="E165" i="41"/>
  <c r="N164" i="41"/>
  <c r="M164" i="41"/>
  <c r="O164" i="41" s="1"/>
  <c r="J164" i="41"/>
  <c r="E164" i="41"/>
  <c r="N163" i="41"/>
  <c r="M163" i="41"/>
  <c r="O163" i="41" s="1"/>
  <c r="J163" i="41"/>
  <c r="E163" i="41"/>
  <c r="N162" i="41"/>
  <c r="M162" i="41"/>
  <c r="O162" i="41" s="1"/>
  <c r="J162" i="41"/>
  <c r="E162" i="41"/>
  <c r="N161" i="41"/>
  <c r="M161" i="41"/>
  <c r="O161" i="41" s="1"/>
  <c r="J161" i="41"/>
  <c r="E161" i="41"/>
  <c r="O160" i="41"/>
  <c r="N160" i="41"/>
  <c r="M160" i="41"/>
  <c r="J160" i="41"/>
  <c r="E160" i="41"/>
  <c r="N159" i="41"/>
  <c r="M159" i="41"/>
  <c r="O159" i="41" s="1"/>
  <c r="J159" i="41"/>
  <c r="E159" i="41"/>
  <c r="N158" i="41"/>
  <c r="M158" i="41"/>
  <c r="O158" i="41" s="1"/>
  <c r="J158" i="41"/>
  <c r="E158" i="41"/>
  <c r="O157" i="41"/>
  <c r="N157" i="41"/>
  <c r="M157" i="41"/>
  <c r="J157" i="41"/>
  <c r="E157" i="41"/>
  <c r="N156" i="41"/>
  <c r="M156" i="41"/>
  <c r="O156" i="41" s="1"/>
  <c r="J156" i="41"/>
  <c r="E156" i="41"/>
  <c r="N155" i="41"/>
  <c r="M155" i="41"/>
  <c r="O155" i="41" s="1"/>
  <c r="J155" i="41"/>
  <c r="E155" i="41"/>
  <c r="N154" i="41"/>
  <c r="M154" i="41"/>
  <c r="O154" i="41" s="1"/>
  <c r="J154" i="41"/>
  <c r="E154" i="41"/>
  <c r="O153" i="41"/>
  <c r="N153" i="41"/>
  <c r="M153" i="41"/>
  <c r="J153" i="41"/>
  <c r="E153" i="41"/>
  <c r="N152" i="41"/>
  <c r="M152" i="41"/>
  <c r="O152" i="41" s="1"/>
  <c r="J152" i="41"/>
  <c r="E152" i="41"/>
  <c r="N151" i="41"/>
  <c r="M151" i="41"/>
  <c r="O151" i="41" s="1"/>
  <c r="J151" i="41"/>
  <c r="E151" i="41"/>
  <c r="N150" i="41"/>
  <c r="M150" i="41"/>
  <c r="O150" i="41" s="1"/>
  <c r="J150" i="41"/>
  <c r="E150" i="41"/>
  <c r="N149" i="41"/>
  <c r="M149" i="41"/>
  <c r="O149" i="41" s="1"/>
  <c r="J149" i="41"/>
  <c r="E149" i="41"/>
  <c r="O148" i="41"/>
  <c r="N148" i="41"/>
  <c r="M148" i="41"/>
  <c r="J148" i="41"/>
  <c r="E148" i="41"/>
  <c r="N147" i="41"/>
  <c r="M147" i="41"/>
  <c r="O147" i="41" s="1"/>
  <c r="J147" i="41"/>
  <c r="E147" i="41"/>
  <c r="N146" i="41"/>
  <c r="M146" i="41"/>
  <c r="O146" i="41" s="1"/>
  <c r="J146" i="41"/>
  <c r="E146" i="41"/>
  <c r="O145" i="41"/>
  <c r="N145" i="41"/>
  <c r="M145" i="41"/>
  <c r="J145" i="41"/>
  <c r="E145" i="41"/>
  <c r="N144" i="41"/>
  <c r="M144" i="41"/>
  <c r="O144" i="41" s="1"/>
  <c r="J144" i="41"/>
  <c r="E144" i="41"/>
  <c r="N143" i="41"/>
  <c r="M143" i="41"/>
  <c r="O143" i="41" s="1"/>
  <c r="J143" i="41"/>
  <c r="E143" i="41"/>
  <c r="N142" i="41"/>
  <c r="M142" i="41"/>
  <c r="O142" i="41" s="1"/>
  <c r="J142" i="41"/>
  <c r="E142" i="41"/>
  <c r="O141" i="41"/>
  <c r="N141" i="41"/>
  <c r="M141" i="41"/>
  <c r="J141" i="41"/>
  <c r="E141" i="41"/>
  <c r="N140" i="41"/>
  <c r="M140" i="41"/>
  <c r="O140" i="41" s="1"/>
  <c r="J140" i="41"/>
  <c r="E140" i="41"/>
  <c r="N139" i="41"/>
  <c r="M139" i="41"/>
  <c r="O139" i="41" s="1"/>
  <c r="J139" i="41"/>
  <c r="E139" i="41"/>
  <c r="N138" i="41"/>
  <c r="M138" i="41"/>
  <c r="O138" i="41" s="1"/>
  <c r="J138" i="41"/>
  <c r="E138" i="41"/>
  <c r="N137" i="41"/>
  <c r="M137" i="41"/>
  <c r="O137" i="41" s="1"/>
  <c r="J137" i="41"/>
  <c r="E137" i="41"/>
  <c r="O136" i="41"/>
  <c r="N136" i="41"/>
  <c r="M136" i="41"/>
  <c r="J136" i="41"/>
  <c r="E136" i="41"/>
  <c r="N135" i="41"/>
  <c r="M135" i="41"/>
  <c r="O135" i="41" s="1"/>
  <c r="J135" i="41"/>
  <c r="E135" i="41"/>
  <c r="N134" i="41"/>
  <c r="M134" i="41"/>
  <c r="O134" i="41" s="1"/>
  <c r="J134" i="41"/>
  <c r="E134" i="41"/>
  <c r="O133" i="41"/>
  <c r="N133" i="41"/>
  <c r="M133" i="41"/>
  <c r="J133" i="41"/>
  <c r="E133" i="41"/>
  <c r="N132" i="41"/>
  <c r="M132" i="41"/>
  <c r="O132" i="41" s="1"/>
  <c r="J132" i="41"/>
  <c r="E132" i="41"/>
  <c r="N131" i="41"/>
  <c r="M131" i="41"/>
  <c r="O131" i="41" s="1"/>
  <c r="J131" i="41"/>
  <c r="E131" i="41"/>
  <c r="N130" i="41"/>
  <c r="M130" i="41"/>
  <c r="O130" i="41" s="1"/>
  <c r="J130" i="41"/>
  <c r="E130" i="41"/>
  <c r="O129" i="41"/>
  <c r="N129" i="41"/>
  <c r="M129" i="41"/>
  <c r="J129" i="41"/>
  <c r="E129" i="41"/>
  <c r="N128" i="41"/>
  <c r="M128" i="41"/>
  <c r="O128" i="41" s="1"/>
  <c r="J128" i="41"/>
  <c r="E128" i="41"/>
  <c r="N127" i="41"/>
  <c r="M127" i="41"/>
  <c r="O127" i="41" s="1"/>
  <c r="J127" i="41"/>
  <c r="E127" i="41"/>
  <c r="N126" i="41"/>
  <c r="M126" i="41"/>
  <c r="O126" i="41" s="1"/>
  <c r="J126" i="41"/>
  <c r="E126" i="41"/>
  <c r="N125" i="41"/>
  <c r="M125" i="41"/>
  <c r="O125" i="41" s="1"/>
  <c r="J125" i="41"/>
  <c r="E125" i="41"/>
  <c r="O124" i="41"/>
  <c r="N124" i="41"/>
  <c r="M124" i="41"/>
  <c r="J124" i="41"/>
  <c r="E124" i="41"/>
  <c r="N123" i="41"/>
  <c r="M123" i="41"/>
  <c r="O123" i="41" s="1"/>
  <c r="J123" i="41"/>
  <c r="E123" i="41"/>
  <c r="N122" i="41"/>
  <c r="M122" i="41"/>
  <c r="O122" i="41" s="1"/>
  <c r="J122" i="41"/>
  <c r="E122" i="41"/>
  <c r="O121" i="41"/>
  <c r="N121" i="41"/>
  <c r="M121" i="41"/>
  <c r="J121" i="41"/>
  <c r="E121" i="41"/>
  <c r="N120" i="41"/>
  <c r="M120" i="41"/>
  <c r="O120" i="41" s="1"/>
  <c r="J120" i="41"/>
  <c r="E120" i="41"/>
  <c r="N119" i="41"/>
  <c r="M119" i="41"/>
  <c r="O119" i="41" s="1"/>
  <c r="J119" i="41"/>
  <c r="E119" i="41"/>
  <c r="N118" i="41"/>
  <c r="M118" i="41"/>
  <c r="O118" i="41" s="1"/>
  <c r="J118" i="41"/>
  <c r="E118" i="41"/>
  <c r="O117" i="41"/>
  <c r="N117" i="41"/>
  <c r="M117" i="41"/>
  <c r="J117" i="41"/>
  <c r="E117" i="41"/>
  <c r="N116" i="41"/>
  <c r="M116" i="41"/>
  <c r="O116" i="41" s="1"/>
  <c r="J116" i="41"/>
  <c r="E116" i="41"/>
  <c r="N115" i="41"/>
  <c r="M115" i="41"/>
  <c r="O115" i="41" s="1"/>
  <c r="J115" i="41"/>
  <c r="E115" i="41"/>
  <c r="N114" i="41"/>
  <c r="M114" i="41"/>
  <c r="O114" i="41" s="1"/>
  <c r="J114" i="41"/>
  <c r="E114" i="41"/>
  <c r="N113" i="41"/>
  <c r="M113" i="41"/>
  <c r="O113" i="41" s="1"/>
  <c r="J113" i="41"/>
  <c r="E113" i="41"/>
  <c r="O112" i="41"/>
  <c r="N112" i="41"/>
  <c r="M112" i="41"/>
  <c r="J112" i="41"/>
  <c r="E112" i="41"/>
  <c r="N111" i="41"/>
  <c r="M111" i="41"/>
  <c r="O111" i="41" s="1"/>
  <c r="J111" i="41"/>
  <c r="E111" i="41"/>
  <c r="N110" i="41"/>
  <c r="M110" i="41"/>
  <c r="O110" i="41" s="1"/>
  <c r="J110" i="41"/>
  <c r="E110" i="41"/>
  <c r="N109" i="41"/>
  <c r="M109" i="41"/>
  <c r="O109" i="41" s="1"/>
  <c r="J109" i="41"/>
  <c r="E109" i="41"/>
  <c r="N108" i="41"/>
  <c r="M108" i="41"/>
  <c r="O108" i="41" s="1"/>
  <c r="J108" i="41"/>
  <c r="E108" i="41"/>
  <c r="N107" i="41"/>
  <c r="M107" i="41"/>
  <c r="O107" i="41" s="1"/>
  <c r="J107" i="41"/>
  <c r="E107" i="41"/>
  <c r="N106" i="41"/>
  <c r="M106" i="41"/>
  <c r="O106" i="41" s="1"/>
  <c r="J106" i="41"/>
  <c r="E106" i="41"/>
  <c r="O105" i="41"/>
  <c r="N105" i="41"/>
  <c r="M105" i="41"/>
  <c r="J105" i="41"/>
  <c r="E105" i="41"/>
  <c r="N104" i="41"/>
  <c r="M104" i="41"/>
  <c r="O104" i="41" s="1"/>
  <c r="J104" i="41"/>
  <c r="E104" i="41"/>
  <c r="N103" i="41"/>
  <c r="M103" i="41"/>
  <c r="O103" i="41" s="1"/>
  <c r="J103" i="41"/>
  <c r="E103" i="41"/>
  <c r="N102" i="41"/>
  <c r="M102" i="41"/>
  <c r="O102" i="41" s="1"/>
  <c r="J102" i="41"/>
  <c r="E102" i="41"/>
  <c r="N101" i="41"/>
  <c r="M101" i="41"/>
  <c r="O101" i="41" s="1"/>
  <c r="J101" i="41"/>
  <c r="E101" i="41"/>
  <c r="O100" i="41"/>
  <c r="N100" i="41"/>
  <c r="M100" i="41"/>
  <c r="J100" i="41"/>
  <c r="E100" i="41"/>
  <c r="N99" i="41"/>
  <c r="M99" i="41"/>
  <c r="O99" i="41" s="1"/>
  <c r="J99" i="41"/>
  <c r="E99" i="41"/>
  <c r="N98" i="41"/>
  <c r="M98" i="41"/>
  <c r="O98" i="41" s="1"/>
  <c r="J98" i="41"/>
  <c r="E98" i="41"/>
  <c r="N97" i="41"/>
  <c r="M97" i="41"/>
  <c r="O97" i="41" s="1"/>
  <c r="J97" i="41"/>
  <c r="E97" i="41"/>
  <c r="N96" i="41"/>
  <c r="M96" i="41"/>
  <c r="O96" i="41" s="1"/>
  <c r="J96" i="41"/>
  <c r="E96" i="41"/>
  <c r="N95" i="41"/>
  <c r="M95" i="41"/>
  <c r="O95" i="41" s="1"/>
  <c r="J95" i="41"/>
  <c r="E95" i="41"/>
  <c r="N94" i="41"/>
  <c r="M94" i="41"/>
  <c r="O94" i="41" s="1"/>
  <c r="J94" i="41"/>
  <c r="E94" i="41"/>
  <c r="O93" i="41"/>
  <c r="N93" i="41"/>
  <c r="M93" i="41"/>
  <c r="J93" i="41"/>
  <c r="E93" i="41"/>
  <c r="N92" i="41"/>
  <c r="M92" i="41"/>
  <c r="O92" i="41" s="1"/>
  <c r="J92" i="41"/>
  <c r="E92" i="41"/>
  <c r="N91" i="41"/>
  <c r="M91" i="41"/>
  <c r="O91" i="41" s="1"/>
  <c r="J91" i="41"/>
  <c r="E91" i="41"/>
  <c r="N90" i="41"/>
  <c r="M90" i="41"/>
  <c r="O90" i="41" s="1"/>
  <c r="J90" i="41"/>
  <c r="E90" i="41"/>
  <c r="N89" i="41"/>
  <c r="M89" i="41"/>
  <c r="O89" i="41" s="1"/>
  <c r="J89" i="41"/>
  <c r="E89" i="41"/>
  <c r="O88" i="41"/>
  <c r="N88" i="41"/>
  <c r="M88" i="41"/>
  <c r="J88" i="41"/>
  <c r="E88" i="41"/>
  <c r="O87" i="41"/>
  <c r="N87" i="41"/>
  <c r="M87" i="41"/>
  <c r="J87" i="41"/>
  <c r="E87" i="41"/>
  <c r="N86" i="41"/>
  <c r="M86" i="41"/>
  <c r="O86" i="41" s="1"/>
  <c r="J86" i="41"/>
  <c r="E86" i="41"/>
  <c r="N85" i="41"/>
  <c r="M85" i="41"/>
  <c r="O85" i="41" s="1"/>
  <c r="J85" i="41"/>
  <c r="E85" i="41"/>
  <c r="N84" i="41"/>
  <c r="M84" i="41"/>
  <c r="O84" i="41" s="1"/>
  <c r="J84" i="41"/>
  <c r="E84" i="41"/>
  <c r="N83" i="41"/>
  <c r="M83" i="41"/>
  <c r="O83" i="41" s="1"/>
  <c r="J83" i="41"/>
  <c r="E83" i="41"/>
  <c r="N82" i="41"/>
  <c r="M82" i="41"/>
  <c r="O82" i="41" s="1"/>
  <c r="J82" i="41"/>
  <c r="E82" i="41"/>
  <c r="O81" i="41"/>
  <c r="N81" i="41"/>
  <c r="M81" i="41"/>
  <c r="J81" i="41"/>
  <c r="E81" i="41"/>
  <c r="N80" i="41"/>
  <c r="M80" i="41"/>
  <c r="O80" i="41" s="1"/>
  <c r="J80" i="41"/>
  <c r="E80" i="41"/>
  <c r="N79" i="41"/>
  <c r="M79" i="41"/>
  <c r="O79" i="41" s="1"/>
  <c r="J79" i="41"/>
  <c r="E79" i="41"/>
  <c r="N78" i="41"/>
  <c r="M78" i="41"/>
  <c r="O78" i="41" s="1"/>
  <c r="J78" i="41"/>
  <c r="E78" i="41"/>
  <c r="N77" i="41"/>
  <c r="M77" i="41"/>
  <c r="O77" i="41" s="1"/>
  <c r="J77" i="41"/>
  <c r="E77" i="41"/>
  <c r="O76" i="41"/>
  <c r="N76" i="41"/>
  <c r="M76" i="41"/>
  <c r="J76" i="41"/>
  <c r="E76" i="41"/>
  <c r="N75" i="41"/>
  <c r="M75" i="41"/>
  <c r="O75" i="41" s="1"/>
  <c r="J75" i="41"/>
  <c r="E75" i="41"/>
  <c r="N74" i="41"/>
  <c r="M74" i="41"/>
  <c r="O74" i="41" s="1"/>
  <c r="J74" i="41"/>
  <c r="E74" i="41"/>
  <c r="N73" i="41"/>
  <c r="M73" i="41"/>
  <c r="O73" i="41" s="1"/>
  <c r="J73" i="41"/>
  <c r="E73" i="41"/>
  <c r="N72" i="41"/>
  <c r="M72" i="41"/>
  <c r="O72" i="41" s="1"/>
  <c r="J72" i="41"/>
  <c r="E72" i="41"/>
  <c r="N71" i="41"/>
  <c r="M71" i="41"/>
  <c r="O71" i="41" s="1"/>
  <c r="J71" i="41"/>
  <c r="E71" i="41"/>
  <c r="N70" i="41"/>
  <c r="M70" i="41"/>
  <c r="O70" i="41" s="1"/>
  <c r="J70" i="41"/>
  <c r="E70" i="41"/>
  <c r="O69" i="41"/>
  <c r="N69" i="41"/>
  <c r="M69" i="41"/>
  <c r="J69" i="41"/>
  <c r="E69" i="41"/>
  <c r="N68" i="41"/>
  <c r="M68" i="41"/>
  <c r="O68" i="41" s="1"/>
  <c r="J68" i="41"/>
  <c r="E68" i="41"/>
  <c r="N67" i="41"/>
  <c r="M67" i="41"/>
  <c r="O67" i="41" s="1"/>
  <c r="J67" i="41"/>
  <c r="E67" i="41"/>
  <c r="O66" i="41"/>
  <c r="N66" i="41"/>
  <c r="M66" i="41"/>
  <c r="J66" i="41"/>
  <c r="E66" i="41"/>
  <c r="N65" i="41"/>
  <c r="M65" i="41"/>
  <c r="O65" i="41" s="1"/>
  <c r="J65" i="41"/>
  <c r="E65" i="41"/>
  <c r="O64" i="41"/>
  <c r="N64" i="41"/>
  <c r="M64" i="41"/>
  <c r="J64" i="41"/>
  <c r="E64" i="41"/>
  <c r="N63" i="41"/>
  <c r="M63" i="41"/>
  <c r="O63" i="41" s="1"/>
  <c r="J63" i="41"/>
  <c r="E63" i="41"/>
  <c r="N62" i="41"/>
  <c r="M62" i="41"/>
  <c r="O62" i="41" s="1"/>
  <c r="J62" i="41"/>
  <c r="E62" i="41"/>
  <c r="N61" i="41"/>
  <c r="M61" i="41"/>
  <c r="O61" i="41" s="1"/>
  <c r="J61" i="41"/>
  <c r="E61" i="41"/>
  <c r="N60" i="41"/>
  <c r="M60" i="41"/>
  <c r="O60" i="41" s="1"/>
  <c r="J60" i="41"/>
  <c r="E60" i="41"/>
  <c r="O59" i="41"/>
  <c r="N59" i="41"/>
  <c r="M59" i="41"/>
  <c r="J59" i="41"/>
  <c r="E59" i="41"/>
  <c r="N58" i="41"/>
  <c r="M58" i="41"/>
  <c r="O58" i="41" s="1"/>
  <c r="J58" i="41"/>
  <c r="E58" i="41"/>
  <c r="O57" i="41"/>
  <c r="N57" i="41"/>
  <c r="M57" i="41"/>
  <c r="J57" i="41"/>
  <c r="E57" i="41"/>
  <c r="N56" i="41"/>
  <c r="M56" i="41"/>
  <c r="O56" i="41" s="1"/>
  <c r="J56" i="41"/>
  <c r="E56" i="41"/>
  <c r="N55" i="41"/>
  <c r="M55" i="41"/>
  <c r="O55" i="41" s="1"/>
  <c r="J55" i="41"/>
  <c r="E55" i="41"/>
  <c r="O54" i="41"/>
  <c r="N54" i="41"/>
  <c r="M54" i="41"/>
  <c r="J54" i="41"/>
  <c r="E54" i="41"/>
  <c r="N53" i="41"/>
  <c r="M53" i="41"/>
  <c r="O53" i="41" s="1"/>
  <c r="J53" i="41"/>
  <c r="J204" i="41" s="1"/>
  <c r="E53" i="41"/>
  <c r="O52" i="41"/>
  <c r="O204" i="41" s="1"/>
  <c r="N52" i="41"/>
  <c r="M52" i="41"/>
  <c r="J52" i="41"/>
  <c r="E52" i="41"/>
  <c r="E204" i="41" s="1"/>
  <c r="F48" i="41"/>
  <c r="D219" i="41" s="1"/>
  <c r="G29" i="41"/>
  <c r="E29" i="41"/>
  <c r="D223" i="41" s="1"/>
  <c r="C29" i="41"/>
  <c r="D222" i="41" s="1"/>
  <c r="I24" i="41"/>
  <c r="C220" i="41" s="1"/>
  <c r="H24" i="41"/>
  <c r="C221" i="41" s="1"/>
  <c r="E221" i="41" s="1"/>
  <c r="G24" i="41"/>
  <c r="E24" i="41"/>
  <c r="C24" i="41"/>
  <c r="J23" i="41"/>
  <c r="F23" i="41"/>
  <c r="D23" i="41"/>
  <c r="F22" i="41"/>
  <c r="D22" i="41"/>
  <c r="J22" i="41" s="1"/>
  <c r="F21" i="41"/>
  <c r="J21" i="41" s="1"/>
  <c r="D21" i="41"/>
  <c r="J20" i="41"/>
  <c r="F20" i="41"/>
  <c r="D20" i="41"/>
  <c r="J19" i="41"/>
  <c r="F19" i="41"/>
  <c r="D19" i="41"/>
  <c r="F18" i="41"/>
  <c r="D18" i="41"/>
  <c r="J18" i="41" s="1"/>
  <c r="F17" i="41"/>
  <c r="F24" i="41" s="1"/>
  <c r="C223" i="41" s="1"/>
  <c r="E223" i="41" s="1"/>
  <c r="D17" i="41"/>
  <c r="J16" i="41"/>
  <c r="F16" i="41"/>
  <c r="D16" i="41"/>
  <c r="J15" i="41"/>
  <c r="F15" i="41"/>
  <c r="D15" i="41"/>
  <c r="D24" i="41" s="1"/>
  <c r="C222" i="41" s="1"/>
  <c r="E222" i="41" s="1"/>
  <c r="C9" i="41"/>
  <c r="C8" i="41"/>
  <c r="C7" i="41"/>
  <c r="G4" i="41"/>
  <c r="F4" i="41"/>
  <c r="C231" i="41" s="1"/>
  <c r="E4" i="41"/>
  <c r="D4" i="41"/>
  <c r="C4" i="41"/>
  <c r="B4" i="41"/>
  <c r="G29" i="38"/>
  <c r="E29" i="38"/>
  <c r="C29" i="38"/>
  <c r="F15" i="38"/>
  <c r="F16" i="38"/>
  <c r="F17" i="38"/>
  <c r="F18" i="38"/>
  <c r="F19" i="38"/>
  <c r="F20" i="38"/>
  <c r="F21" i="38"/>
  <c r="F22" i="38"/>
  <c r="F23" i="38"/>
  <c r="D15" i="38"/>
  <c r="D16" i="38"/>
  <c r="D17" i="38"/>
  <c r="D18" i="38"/>
  <c r="D19" i="38"/>
  <c r="D20" i="38"/>
  <c r="D21" i="38"/>
  <c r="D22" i="38"/>
  <c r="D23" i="38"/>
  <c r="D227" i="38"/>
  <c r="D226" i="38"/>
  <c r="E53" i="38"/>
  <c r="J53" i="38"/>
  <c r="M53" i="38"/>
  <c r="O53" i="38" s="1"/>
  <c r="N53" i="38"/>
  <c r="E54" i="38"/>
  <c r="J54" i="38"/>
  <c r="M54" i="38"/>
  <c r="O54" i="38" s="1"/>
  <c r="N54" i="38"/>
  <c r="E55" i="38"/>
  <c r="J55" i="38"/>
  <c r="M55" i="38"/>
  <c r="O55" i="38" s="1"/>
  <c r="N55" i="38"/>
  <c r="E56" i="38"/>
  <c r="J56" i="38"/>
  <c r="M56" i="38"/>
  <c r="O56" i="38" s="1"/>
  <c r="N56" i="38"/>
  <c r="E57" i="38"/>
  <c r="J57" i="38"/>
  <c r="M57" i="38"/>
  <c r="O57" i="38" s="1"/>
  <c r="N57" i="38"/>
  <c r="E58" i="38"/>
  <c r="J58" i="38"/>
  <c r="M58" i="38"/>
  <c r="O58" i="38" s="1"/>
  <c r="N58" i="38"/>
  <c r="E59" i="38"/>
  <c r="J59" i="38"/>
  <c r="M59" i="38"/>
  <c r="O59" i="38" s="1"/>
  <c r="N59" i="38"/>
  <c r="E60" i="38"/>
  <c r="J60" i="38"/>
  <c r="M60" i="38"/>
  <c r="O60" i="38" s="1"/>
  <c r="N60" i="38"/>
  <c r="E61" i="38"/>
  <c r="J61" i="38"/>
  <c r="M61" i="38"/>
  <c r="O61" i="38" s="1"/>
  <c r="N61" i="38"/>
  <c r="E62" i="38"/>
  <c r="J62" i="38"/>
  <c r="M62" i="38"/>
  <c r="O62" i="38" s="1"/>
  <c r="N62" i="38"/>
  <c r="E63" i="38"/>
  <c r="J63" i="38"/>
  <c r="M63" i="38"/>
  <c r="O63" i="38" s="1"/>
  <c r="N63" i="38"/>
  <c r="E64" i="38"/>
  <c r="J64" i="38"/>
  <c r="M64" i="38"/>
  <c r="O64" i="38" s="1"/>
  <c r="N64" i="38"/>
  <c r="E65" i="38"/>
  <c r="J65" i="38"/>
  <c r="M65" i="38"/>
  <c r="O65" i="38" s="1"/>
  <c r="N65" i="38"/>
  <c r="E66" i="38"/>
  <c r="J66" i="38"/>
  <c r="M66" i="38"/>
  <c r="O66" i="38" s="1"/>
  <c r="N66" i="38"/>
  <c r="E67" i="38"/>
  <c r="J67" i="38"/>
  <c r="M67" i="38"/>
  <c r="O67" i="38" s="1"/>
  <c r="N67" i="38"/>
  <c r="E68" i="38"/>
  <c r="J68" i="38"/>
  <c r="M68" i="38"/>
  <c r="O68" i="38" s="1"/>
  <c r="N68" i="38"/>
  <c r="E69" i="38"/>
  <c r="J69" i="38"/>
  <c r="M69" i="38"/>
  <c r="O69" i="38" s="1"/>
  <c r="N69" i="38"/>
  <c r="E70" i="38"/>
  <c r="J70" i="38"/>
  <c r="M70" i="38"/>
  <c r="O70" i="38" s="1"/>
  <c r="N70" i="38"/>
  <c r="E71" i="38"/>
  <c r="J71" i="38"/>
  <c r="M71" i="38"/>
  <c r="O71" i="38" s="1"/>
  <c r="N71" i="38"/>
  <c r="E72" i="38"/>
  <c r="J72" i="38"/>
  <c r="M72" i="38"/>
  <c r="O72" i="38" s="1"/>
  <c r="N72" i="38"/>
  <c r="E73" i="38"/>
  <c r="J73" i="38"/>
  <c r="M73" i="38"/>
  <c r="O73" i="38" s="1"/>
  <c r="N73" i="38"/>
  <c r="E74" i="38"/>
  <c r="J74" i="38"/>
  <c r="M74" i="38"/>
  <c r="O74" i="38" s="1"/>
  <c r="N74" i="38"/>
  <c r="E75" i="38"/>
  <c r="J75" i="38"/>
  <c r="M75" i="38"/>
  <c r="O75" i="38" s="1"/>
  <c r="N75" i="38"/>
  <c r="E76" i="38"/>
  <c r="J76" i="38"/>
  <c r="M76" i="38"/>
  <c r="O76" i="38" s="1"/>
  <c r="N76" i="38"/>
  <c r="E77" i="38"/>
  <c r="J77" i="38"/>
  <c r="M77" i="38"/>
  <c r="O77" i="38" s="1"/>
  <c r="N77" i="38"/>
  <c r="E78" i="38"/>
  <c r="J78" i="38"/>
  <c r="M78" i="38"/>
  <c r="O78" i="38" s="1"/>
  <c r="N78" i="38"/>
  <c r="E79" i="38"/>
  <c r="J79" i="38"/>
  <c r="M79" i="38"/>
  <c r="O79" i="38" s="1"/>
  <c r="N79" i="38"/>
  <c r="E80" i="38"/>
  <c r="J80" i="38"/>
  <c r="M80" i="38"/>
  <c r="O80" i="38" s="1"/>
  <c r="N80" i="38"/>
  <c r="E81" i="38"/>
  <c r="J81" i="38"/>
  <c r="M81" i="38"/>
  <c r="O81" i="38" s="1"/>
  <c r="N81" i="38"/>
  <c r="E82" i="38"/>
  <c r="J82" i="38"/>
  <c r="M82" i="38"/>
  <c r="O82" i="38" s="1"/>
  <c r="N82" i="38"/>
  <c r="E83" i="38"/>
  <c r="J83" i="38"/>
  <c r="M83" i="38"/>
  <c r="O83" i="38" s="1"/>
  <c r="N83" i="38"/>
  <c r="E84" i="38"/>
  <c r="J84" i="38"/>
  <c r="M84" i="38"/>
  <c r="O84" i="38" s="1"/>
  <c r="N84" i="38"/>
  <c r="E85" i="38"/>
  <c r="J85" i="38"/>
  <c r="M85" i="38"/>
  <c r="O85" i="38" s="1"/>
  <c r="N85" i="38"/>
  <c r="E86" i="38"/>
  <c r="J86" i="38"/>
  <c r="M86" i="38"/>
  <c r="O86" i="38" s="1"/>
  <c r="N86" i="38"/>
  <c r="E87" i="38"/>
  <c r="J87" i="38"/>
  <c r="M87" i="38"/>
  <c r="O87" i="38" s="1"/>
  <c r="N87" i="38"/>
  <c r="E88" i="38"/>
  <c r="J88" i="38"/>
  <c r="M88" i="38"/>
  <c r="O88" i="38" s="1"/>
  <c r="N88" i="38"/>
  <c r="E89" i="38"/>
  <c r="J89" i="38"/>
  <c r="M89" i="38"/>
  <c r="O89" i="38" s="1"/>
  <c r="N89" i="38"/>
  <c r="E90" i="38"/>
  <c r="J90" i="38"/>
  <c r="M90" i="38"/>
  <c r="O90" i="38" s="1"/>
  <c r="N90" i="38"/>
  <c r="E91" i="38"/>
  <c r="J91" i="38"/>
  <c r="M91" i="38"/>
  <c r="O91" i="38" s="1"/>
  <c r="N91" i="38"/>
  <c r="E92" i="38"/>
  <c r="J92" i="38"/>
  <c r="M92" i="38"/>
  <c r="O92" i="38" s="1"/>
  <c r="N92" i="38"/>
  <c r="E93" i="38"/>
  <c r="J93" i="38"/>
  <c r="M93" i="38"/>
  <c r="O93" i="38" s="1"/>
  <c r="N93" i="38"/>
  <c r="E94" i="38"/>
  <c r="J94" i="38"/>
  <c r="M94" i="38"/>
  <c r="O94" i="38" s="1"/>
  <c r="N94" i="38"/>
  <c r="E95" i="38"/>
  <c r="J95" i="38"/>
  <c r="M95" i="38"/>
  <c r="O95" i="38" s="1"/>
  <c r="N95" i="38"/>
  <c r="E96" i="38"/>
  <c r="J96" i="38"/>
  <c r="M96" i="38"/>
  <c r="O96" i="38" s="1"/>
  <c r="N96" i="38"/>
  <c r="E97" i="38"/>
  <c r="J97" i="38"/>
  <c r="M97" i="38"/>
  <c r="O97" i="38" s="1"/>
  <c r="N97" i="38"/>
  <c r="E98" i="38"/>
  <c r="J98" i="38"/>
  <c r="M98" i="38"/>
  <c r="O98" i="38" s="1"/>
  <c r="N98" i="38"/>
  <c r="E99" i="38"/>
  <c r="J99" i="38"/>
  <c r="M99" i="38"/>
  <c r="O99" i="38" s="1"/>
  <c r="N99" i="38"/>
  <c r="E100" i="38"/>
  <c r="J100" i="38"/>
  <c r="M100" i="38"/>
  <c r="O100" i="38" s="1"/>
  <c r="N100" i="38"/>
  <c r="E101" i="38"/>
  <c r="J101" i="38"/>
  <c r="M101" i="38"/>
  <c r="O101" i="38" s="1"/>
  <c r="N101" i="38"/>
  <c r="E102" i="38"/>
  <c r="J102" i="38"/>
  <c r="M102" i="38"/>
  <c r="O102" i="38" s="1"/>
  <c r="N102" i="38"/>
  <c r="E103" i="38"/>
  <c r="J103" i="38"/>
  <c r="M103" i="38"/>
  <c r="O103" i="38" s="1"/>
  <c r="N103" i="38"/>
  <c r="E104" i="38"/>
  <c r="J104" i="38"/>
  <c r="M104" i="38"/>
  <c r="O104" i="38" s="1"/>
  <c r="N104" i="38"/>
  <c r="E105" i="38"/>
  <c r="J105" i="38"/>
  <c r="M105" i="38"/>
  <c r="O105" i="38" s="1"/>
  <c r="N105" i="38"/>
  <c r="E106" i="38"/>
  <c r="J106" i="38"/>
  <c r="M106" i="38"/>
  <c r="O106" i="38" s="1"/>
  <c r="N106" i="38"/>
  <c r="E107" i="38"/>
  <c r="J107" i="38"/>
  <c r="M107" i="38"/>
  <c r="O107" i="38" s="1"/>
  <c r="N107" i="38"/>
  <c r="E108" i="38"/>
  <c r="J108" i="38"/>
  <c r="M108" i="38"/>
  <c r="O108" i="38" s="1"/>
  <c r="N108" i="38"/>
  <c r="E109" i="38"/>
  <c r="J109" i="38"/>
  <c r="M109" i="38"/>
  <c r="O109" i="38" s="1"/>
  <c r="N109" i="38"/>
  <c r="E110" i="38"/>
  <c r="J110" i="38"/>
  <c r="M110" i="38"/>
  <c r="O110" i="38" s="1"/>
  <c r="N110" i="38"/>
  <c r="E111" i="38"/>
  <c r="J111" i="38"/>
  <c r="M111" i="38"/>
  <c r="O111" i="38" s="1"/>
  <c r="N111" i="38"/>
  <c r="E112" i="38"/>
  <c r="J112" i="38"/>
  <c r="M112" i="38"/>
  <c r="O112" i="38" s="1"/>
  <c r="N112" i="38"/>
  <c r="E113" i="38"/>
  <c r="J113" i="38"/>
  <c r="M113" i="38"/>
  <c r="O113" i="38" s="1"/>
  <c r="N113" i="38"/>
  <c r="E114" i="38"/>
  <c r="J114" i="38"/>
  <c r="M114" i="38"/>
  <c r="O114" i="38" s="1"/>
  <c r="N114" i="38"/>
  <c r="E115" i="38"/>
  <c r="J115" i="38"/>
  <c r="M115" i="38"/>
  <c r="O115" i="38" s="1"/>
  <c r="N115" i="38"/>
  <c r="E116" i="38"/>
  <c r="J116" i="38"/>
  <c r="M116" i="38"/>
  <c r="O116" i="38" s="1"/>
  <c r="N116" i="38"/>
  <c r="E117" i="38"/>
  <c r="J117" i="38"/>
  <c r="M117" i="38"/>
  <c r="O117" i="38" s="1"/>
  <c r="N117" i="38"/>
  <c r="E118" i="38"/>
  <c r="J118" i="38"/>
  <c r="M118" i="38"/>
  <c r="O118" i="38" s="1"/>
  <c r="N118" i="38"/>
  <c r="E119" i="38"/>
  <c r="J119" i="38"/>
  <c r="M119" i="38"/>
  <c r="O119" i="38" s="1"/>
  <c r="N119" i="38"/>
  <c r="E120" i="38"/>
  <c r="J120" i="38"/>
  <c r="M120" i="38"/>
  <c r="O120" i="38" s="1"/>
  <c r="N120" i="38"/>
  <c r="E121" i="38"/>
  <c r="J121" i="38"/>
  <c r="M121" i="38"/>
  <c r="O121" i="38" s="1"/>
  <c r="N121" i="38"/>
  <c r="E122" i="38"/>
  <c r="J122" i="38"/>
  <c r="M122" i="38"/>
  <c r="O122" i="38" s="1"/>
  <c r="N122" i="38"/>
  <c r="E123" i="38"/>
  <c r="J123" i="38"/>
  <c r="M123" i="38"/>
  <c r="O123" i="38" s="1"/>
  <c r="N123" i="38"/>
  <c r="E124" i="38"/>
  <c r="J124" i="38"/>
  <c r="M124" i="38"/>
  <c r="O124" i="38" s="1"/>
  <c r="N124" i="38"/>
  <c r="E125" i="38"/>
  <c r="J125" i="38"/>
  <c r="M125" i="38"/>
  <c r="O125" i="38" s="1"/>
  <c r="N125" i="38"/>
  <c r="E126" i="38"/>
  <c r="J126" i="38"/>
  <c r="M126" i="38"/>
  <c r="O126" i="38" s="1"/>
  <c r="N126" i="38"/>
  <c r="E127" i="38"/>
  <c r="J127" i="38"/>
  <c r="M127" i="38"/>
  <c r="O127" i="38" s="1"/>
  <c r="N127" i="38"/>
  <c r="E128" i="38"/>
  <c r="J128" i="38"/>
  <c r="M128" i="38"/>
  <c r="O128" i="38" s="1"/>
  <c r="N128" i="38"/>
  <c r="E129" i="38"/>
  <c r="J129" i="38"/>
  <c r="M129" i="38"/>
  <c r="O129" i="38" s="1"/>
  <c r="N129" i="38"/>
  <c r="E130" i="38"/>
  <c r="J130" i="38"/>
  <c r="M130" i="38"/>
  <c r="O130" i="38" s="1"/>
  <c r="N130" i="38"/>
  <c r="E131" i="38"/>
  <c r="J131" i="38"/>
  <c r="M131" i="38"/>
  <c r="O131" i="38" s="1"/>
  <c r="N131" i="38"/>
  <c r="E132" i="38"/>
  <c r="J132" i="38"/>
  <c r="M132" i="38"/>
  <c r="O132" i="38" s="1"/>
  <c r="N132" i="38"/>
  <c r="E133" i="38"/>
  <c r="J133" i="38"/>
  <c r="M133" i="38"/>
  <c r="O133" i="38" s="1"/>
  <c r="N133" i="38"/>
  <c r="E134" i="38"/>
  <c r="J134" i="38"/>
  <c r="M134" i="38"/>
  <c r="O134" i="38" s="1"/>
  <c r="N134" i="38"/>
  <c r="E135" i="38"/>
  <c r="J135" i="38"/>
  <c r="M135" i="38"/>
  <c r="O135" i="38" s="1"/>
  <c r="N135" i="38"/>
  <c r="E136" i="38"/>
  <c r="J136" i="38"/>
  <c r="M136" i="38"/>
  <c r="O136" i="38" s="1"/>
  <c r="N136" i="38"/>
  <c r="E137" i="38"/>
  <c r="J137" i="38"/>
  <c r="M137" i="38"/>
  <c r="O137" i="38" s="1"/>
  <c r="N137" i="38"/>
  <c r="E138" i="38"/>
  <c r="J138" i="38"/>
  <c r="M138" i="38"/>
  <c r="O138" i="38" s="1"/>
  <c r="N138" i="38"/>
  <c r="E139" i="38"/>
  <c r="J139" i="38"/>
  <c r="M139" i="38"/>
  <c r="O139" i="38" s="1"/>
  <c r="N139" i="38"/>
  <c r="E140" i="38"/>
  <c r="J140" i="38"/>
  <c r="M140" i="38"/>
  <c r="O140" i="38" s="1"/>
  <c r="N140" i="38"/>
  <c r="E141" i="38"/>
  <c r="J141" i="38"/>
  <c r="M141" i="38"/>
  <c r="O141" i="38" s="1"/>
  <c r="N141" i="38"/>
  <c r="E142" i="38"/>
  <c r="J142" i="38"/>
  <c r="M142" i="38"/>
  <c r="O142" i="38" s="1"/>
  <c r="N142" i="38"/>
  <c r="E143" i="38"/>
  <c r="J143" i="38"/>
  <c r="M143" i="38"/>
  <c r="O143" i="38" s="1"/>
  <c r="N143" i="38"/>
  <c r="E144" i="38"/>
  <c r="J144" i="38"/>
  <c r="M144" i="38"/>
  <c r="O144" i="38" s="1"/>
  <c r="N144" i="38"/>
  <c r="E145" i="38"/>
  <c r="J145" i="38"/>
  <c r="M145" i="38"/>
  <c r="O145" i="38" s="1"/>
  <c r="N145" i="38"/>
  <c r="E146" i="38"/>
  <c r="J146" i="38"/>
  <c r="M146" i="38"/>
  <c r="O146" i="38" s="1"/>
  <c r="N146" i="38"/>
  <c r="E147" i="38"/>
  <c r="J147" i="38"/>
  <c r="M147" i="38"/>
  <c r="O147" i="38" s="1"/>
  <c r="N147" i="38"/>
  <c r="E148" i="38"/>
  <c r="J148" i="38"/>
  <c r="M148" i="38"/>
  <c r="O148" i="38" s="1"/>
  <c r="N148" i="38"/>
  <c r="E149" i="38"/>
  <c r="J149" i="38"/>
  <c r="M149" i="38"/>
  <c r="O149" i="38" s="1"/>
  <c r="N149" i="38"/>
  <c r="E150" i="38"/>
  <c r="J150" i="38"/>
  <c r="M150" i="38"/>
  <c r="O150" i="38" s="1"/>
  <c r="N150" i="38"/>
  <c r="E151" i="38"/>
  <c r="J151" i="38"/>
  <c r="M151" i="38"/>
  <c r="O151" i="38" s="1"/>
  <c r="N151" i="38"/>
  <c r="E152" i="38"/>
  <c r="J152" i="38"/>
  <c r="M152" i="38"/>
  <c r="O152" i="38" s="1"/>
  <c r="N152" i="38"/>
  <c r="E153" i="38"/>
  <c r="J153" i="38"/>
  <c r="M153" i="38"/>
  <c r="O153" i="38" s="1"/>
  <c r="N153" i="38"/>
  <c r="E154" i="38"/>
  <c r="J154" i="38"/>
  <c r="M154" i="38"/>
  <c r="O154" i="38" s="1"/>
  <c r="N154" i="38"/>
  <c r="E155" i="38"/>
  <c r="J155" i="38"/>
  <c r="M155" i="38"/>
  <c r="O155" i="38" s="1"/>
  <c r="N155" i="38"/>
  <c r="E156" i="38"/>
  <c r="J156" i="38"/>
  <c r="M156" i="38"/>
  <c r="O156" i="38" s="1"/>
  <c r="N156" i="38"/>
  <c r="E157" i="38"/>
  <c r="J157" i="38"/>
  <c r="M157" i="38"/>
  <c r="O157" i="38" s="1"/>
  <c r="N157" i="38"/>
  <c r="E158" i="38"/>
  <c r="J158" i="38"/>
  <c r="M158" i="38"/>
  <c r="O158" i="38" s="1"/>
  <c r="N158" i="38"/>
  <c r="E159" i="38"/>
  <c r="J159" i="38"/>
  <c r="M159" i="38"/>
  <c r="O159" i="38" s="1"/>
  <c r="N159" i="38"/>
  <c r="E160" i="38"/>
  <c r="J160" i="38"/>
  <c r="M160" i="38"/>
  <c r="O160" i="38" s="1"/>
  <c r="N160" i="38"/>
  <c r="E161" i="38"/>
  <c r="J161" i="38"/>
  <c r="M161" i="38"/>
  <c r="O161" i="38" s="1"/>
  <c r="N161" i="38"/>
  <c r="E162" i="38"/>
  <c r="J162" i="38"/>
  <c r="M162" i="38"/>
  <c r="O162" i="38" s="1"/>
  <c r="N162" i="38"/>
  <c r="E163" i="38"/>
  <c r="J163" i="38"/>
  <c r="M163" i="38"/>
  <c r="O163" i="38" s="1"/>
  <c r="N163" i="38"/>
  <c r="E164" i="38"/>
  <c r="J164" i="38"/>
  <c r="M164" i="38"/>
  <c r="O164" i="38" s="1"/>
  <c r="N164" i="38"/>
  <c r="E165" i="38"/>
  <c r="J165" i="38"/>
  <c r="M165" i="38"/>
  <c r="O165" i="38" s="1"/>
  <c r="N165" i="38"/>
  <c r="E166" i="38"/>
  <c r="J166" i="38"/>
  <c r="M166" i="38"/>
  <c r="O166" i="38" s="1"/>
  <c r="N166" i="38"/>
  <c r="E167" i="38"/>
  <c r="J167" i="38"/>
  <c r="M167" i="38"/>
  <c r="O167" i="38" s="1"/>
  <c r="N167" i="38"/>
  <c r="E168" i="38"/>
  <c r="J168" i="38"/>
  <c r="M168" i="38"/>
  <c r="O168" i="38" s="1"/>
  <c r="N168" i="38"/>
  <c r="E169" i="38"/>
  <c r="J169" i="38"/>
  <c r="M169" i="38"/>
  <c r="O169" i="38" s="1"/>
  <c r="N169" i="38"/>
  <c r="E170" i="38"/>
  <c r="J170" i="38"/>
  <c r="M170" i="38"/>
  <c r="O170" i="38" s="1"/>
  <c r="N170" i="38"/>
  <c r="E171" i="38"/>
  <c r="J171" i="38"/>
  <c r="M171" i="38"/>
  <c r="O171" i="38" s="1"/>
  <c r="N171" i="38"/>
  <c r="E172" i="38"/>
  <c r="J172" i="38"/>
  <c r="M172" i="38"/>
  <c r="O172" i="38" s="1"/>
  <c r="N172" i="38"/>
  <c r="E173" i="38"/>
  <c r="J173" i="38"/>
  <c r="M173" i="38"/>
  <c r="O173" i="38" s="1"/>
  <c r="N173" i="38"/>
  <c r="E174" i="38"/>
  <c r="J174" i="38"/>
  <c r="M174" i="38"/>
  <c r="O174" i="38" s="1"/>
  <c r="N174" i="38"/>
  <c r="E175" i="38"/>
  <c r="J175" i="38"/>
  <c r="M175" i="38"/>
  <c r="O175" i="38" s="1"/>
  <c r="N175" i="38"/>
  <c r="E176" i="38"/>
  <c r="J176" i="38"/>
  <c r="M176" i="38"/>
  <c r="O176" i="38" s="1"/>
  <c r="N176" i="38"/>
  <c r="E177" i="38"/>
  <c r="J177" i="38"/>
  <c r="M177" i="38"/>
  <c r="O177" i="38" s="1"/>
  <c r="N177" i="38"/>
  <c r="E178" i="38"/>
  <c r="J178" i="38"/>
  <c r="M178" i="38"/>
  <c r="O178" i="38" s="1"/>
  <c r="N178" i="38"/>
  <c r="E179" i="38"/>
  <c r="J179" i="38"/>
  <c r="M179" i="38"/>
  <c r="O179" i="38" s="1"/>
  <c r="N179" i="38"/>
  <c r="E180" i="38"/>
  <c r="J180" i="38"/>
  <c r="M180" i="38"/>
  <c r="O180" i="38" s="1"/>
  <c r="N180" i="38"/>
  <c r="E181" i="38"/>
  <c r="J181" i="38"/>
  <c r="M181" i="38"/>
  <c r="O181" i="38" s="1"/>
  <c r="N181" i="38"/>
  <c r="E182" i="38"/>
  <c r="J182" i="38"/>
  <c r="M182" i="38"/>
  <c r="O182" i="38" s="1"/>
  <c r="N182" i="38"/>
  <c r="E183" i="38"/>
  <c r="J183" i="38"/>
  <c r="M183" i="38"/>
  <c r="O183" i="38" s="1"/>
  <c r="N183" i="38"/>
  <c r="E184" i="38"/>
  <c r="J184" i="38"/>
  <c r="M184" i="38"/>
  <c r="O184" i="38" s="1"/>
  <c r="N184" i="38"/>
  <c r="E185" i="38"/>
  <c r="J185" i="38"/>
  <c r="M185" i="38"/>
  <c r="O185" i="38" s="1"/>
  <c r="N185" i="38"/>
  <c r="E186" i="38"/>
  <c r="J186" i="38"/>
  <c r="M186" i="38"/>
  <c r="O186" i="38" s="1"/>
  <c r="N186" i="38"/>
  <c r="E187" i="38"/>
  <c r="J187" i="38"/>
  <c r="M187" i="38"/>
  <c r="O187" i="38" s="1"/>
  <c r="N187" i="38"/>
  <c r="E188" i="38"/>
  <c r="J188" i="38"/>
  <c r="M188" i="38"/>
  <c r="O188" i="38" s="1"/>
  <c r="N188" i="38"/>
  <c r="E189" i="38"/>
  <c r="J189" i="38"/>
  <c r="M189" i="38"/>
  <c r="O189" i="38" s="1"/>
  <c r="N189" i="38"/>
  <c r="E190" i="38"/>
  <c r="J190" i="38"/>
  <c r="M190" i="38"/>
  <c r="O190" i="38" s="1"/>
  <c r="N190" i="38"/>
  <c r="E191" i="38"/>
  <c r="J191" i="38"/>
  <c r="M191" i="38"/>
  <c r="O191" i="38" s="1"/>
  <c r="N191" i="38"/>
  <c r="E192" i="38"/>
  <c r="J192" i="38"/>
  <c r="M192" i="38"/>
  <c r="O192" i="38" s="1"/>
  <c r="N192" i="38"/>
  <c r="E193" i="38"/>
  <c r="J193" i="38"/>
  <c r="M193" i="38"/>
  <c r="O193" i="38" s="1"/>
  <c r="N193" i="38"/>
  <c r="E194" i="38"/>
  <c r="J194" i="38"/>
  <c r="M194" i="38"/>
  <c r="O194" i="38" s="1"/>
  <c r="N194" i="38"/>
  <c r="E195" i="38"/>
  <c r="J195" i="38"/>
  <c r="M195" i="38"/>
  <c r="O195" i="38" s="1"/>
  <c r="N195" i="38"/>
  <c r="E196" i="38"/>
  <c r="J196" i="38"/>
  <c r="M196" i="38"/>
  <c r="O196" i="38" s="1"/>
  <c r="N196" i="38"/>
  <c r="E197" i="38"/>
  <c r="J197" i="38"/>
  <c r="M197" i="38"/>
  <c r="O197" i="38" s="1"/>
  <c r="N197" i="38"/>
  <c r="E198" i="38"/>
  <c r="J198" i="38"/>
  <c r="M198" i="38"/>
  <c r="O198" i="38" s="1"/>
  <c r="N198" i="38"/>
  <c r="E199" i="38"/>
  <c r="J199" i="38"/>
  <c r="M199" i="38"/>
  <c r="O199" i="38" s="1"/>
  <c r="N199" i="38"/>
  <c r="E200" i="38"/>
  <c r="J200" i="38"/>
  <c r="M200" i="38"/>
  <c r="O200" i="38" s="1"/>
  <c r="N200" i="38"/>
  <c r="E201" i="38"/>
  <c r="J201" i="38"/>
  <c r="M201" i="38"/>
  <c r="O201" i="38" s="1"/>
  <c r="N201" i="38"/>
  <c r="E202" i="38"/>
  <c r="J202" i="38"/>
  <c r="M202" i="38"/>
  <c r="O202" i="38" s="1"/>
  <c r="N202" i="38"/>
  <c r="H64" i="3" l="1"/>
  <c r="H66" i="3"/>
  <c r="D220" i="43"/>
  <c r="H60" i="3" s="1"/>
  <c r="N204" i="43"/>
  <c r="M204" i="43"/>
  <c r="J204" i="43"/>
  <c r="E204" i="43"/>
  <c r="E222" i="43"/>
  <c r="O204" i="43"/>
  <c r="F24" i="43"/>
  <c r="C223" i="43" s="1"/>
  <c r="E223" i="43" s="1"/>
  <c r="I4" i="43"/>
  <c r="D221" i="43"/>
  <c r="J204" i="42"/>
  <c r="E204" i="42"/>
  <c r="M204" i="42"/>
  <c r="N204" i="42"/>
  <c r="D220" i="42"/>
  <c r="E223" i="42"/>
  <c r="O204" i="42"/>
  <c r="D221" i="42"/>
  <c r="J15" i="42"/>
  <c r="J24" i="42" s="1"/>
  <c r="C230" i="42" s="1"/>
  <c r="D24" i="42"/>
  <c r="C222" i="42" s="1"/>
  <c r="E222" i="42" s="1"/>
  <c r="E225" i="41"/>
  <c r="D225" i="41"/>
  <c r="D230" i="41" s="1"/>
  <c r="C225" i="41"/>
  <c r="E220" i="41"/>
  <c r="C219" i="41" s="1"/>
  <c r="E219" i="41" s="1"/>
  <c r="N204" i="41"/>
  <c r="J17" i="41"/>
  <c r="J24" i="41" s="1"/>
  <c r="C9" i="40"/>
  <c r="A4" i="40"/>
  <c r="A2" i="40"/>
  <c r="N27" i="3"/>
  <c r="M27" i="3"/>
  <c r="E220" i="43" l="1"/>
  <c r="C219" i="43" s="1"/>
  <c r="E219" i="43" s="1"/>
  <c r="D225" i="43"/>
  <c r="H62" i="3"/>
  <c r="E221" i="43"/>
  <c r="C225" i="43"/>
  <c r="E220" i="42"/>
  <c r="C219" i="42" s="1"/>
  <c r="E219" i="42" s="1"/>
  <c r="D225" i="42"/>
  <c r="I4" i="42"/>
  <c r="C225" i="42"/>
  <c r="E221" i="42"/>
  <c r="I4" i="41"/>
  <c r="C230" i="41"/>
  <c r="E230" i="41" s="1"/>
  <c r="E231" i="41"/>
  <c r="D231" i="41"/>
  <c r="E233" i="41"/>
  <c r="D4" i="38"/>
  <c r="E225" i="43" l="1"/>
  <c r="D230" i="43"/>
  <c r="H51" i="3"/>
  <c r="E225" i="42"/>
  <c r="D230" i="42"/>
  <c r="N52" i="38"/>
  <c r="M52" i="38"/>
  <c r="O52" i="38" s="1"/>
  <c r="H55" i="3" l="1"/>
  <c r="E231" i="43"/>
  <c r="E230" i="43"/>
  <c r="H57" i="3" s="1"/>
  <c r="E233" i="43"/>
  <c r="H48" i="3" s="1"/>
  <c r="D231" i="43"/>
  <c r="E231" i="42"/>
  <c r="D231" i="42"/>
  <c r="E230" i="42"/>
  <c r="E233" i="42"/>
  <c r="D204" i="38"/>
  <c r="F204" i="38"/>
  <c r="G204" i="38"/>
  <c r="H204" i="38"/>
  <c r="I204" i="38"/>
  <c r="C204" i="38"/>
  <c r="D221" i="38" l="1"/>
  <c r="D220" i="38"/>
  <c r="C8" i="38"/>
  <c r="C9" i="38"/>
  <c r="C7" i="38"/>
  <c r="G4" i="38"/>
  <c r="B4" i="38"/>
  <c r="C4" i="38"/>
  <c r="E4" i="38"/>
  <c r="F4" i="38"/>
  <c r="O204" i="38" l="1"/>
  <c r="N204" i="38" l="1"/>
  <c r="E24" i="38"/>
  <c r="F24" i="38"/>
  <c r="G24" i="38"/>
  <c r="H24" i="38"/>
  <c r="I24" i="38"/>
  <c r="C24" i="38"/>
  <c r="M204" i="38" l="1"/>
  <c r="E52" i="38"/>
  <c r="E204" i="38" s="1"/>
  <c r="B2" i="3" l="1"/>
  <c r="F15" i="21" l="1"/>
  <c r="F16" i="21"/>
  <c r="F17" i="21"/>
  <c r="F18" i="21"/>
  <c r="F19" i="21"/>
  <c r="F20" i="21"/>
  <c r="F21" i="21"/>
  <c r="F22" i="21"/>
  <c r="F23" i="21"/>
  <c r="F14" i="21"/>
  <c r="D15" i="21"/>
  <c r="D16" i="21"/>
  <c r="D17" i="21"/>
  <c r="D18" i="21"/>
  <c r="D19" i="21"/>
  <c r="D20" i="21"/>
  <c r="D21" i="21"/>
  <c r="D22" i="21"/>
  <c r="D23" i="21"/>
  <c r="D14" i="21"/>
  <c r="E28" i="21"/>
  <c r="C28" i="21"/>
  <c r="D24" i="38" l="1"/>
  <c r="F11" i="3"/>
  <c r="C11" i="40" s="1"/>
  <c r="J52" i="38" l="1"/>
  <c r="J204" i="38" s="1"/>
  <c r="E216" i="38" l="1"/>
  <c r="D224" i="38" s="1"/>
  <c r="F48" i="38"/>
  <c r="D219" i="38" s="1"/>
  <c r="D223" i="38"/>
  <c r="D222" i="38"/>
  <c r="C220" i="38"/>
  <c r="J22" i="38"/>
  <c r="J21" i="38"/>
  <c r="J20" i="38"/>
  <c r="J19" i="38"/>
  <c r="J17" i="38"/>
  <c r="J16" i="38"/>
  <c r="C231" i="38" l="1"/>
  <c r="J23" i="38"/>
  <c r="D45" i="3"/>
  <c r="J18" i="38"/>
  <c r="D59" i="3"/>
  <c r="D64" i="3"/>
  <c r="C223" i="38"/>
  <c r="E223" i="38" s="1"/>
  <c r="C221" i="38"/>
  <c r="D61" i="3"/>
  <c r="D60" i="3"/>
  <c r="D66" i="3"/>
  <c r="D63" i="3"/>
  <c r="D44" i="3"/>
  <c r="J15" i="38"/>
  <c r="D228" i="38"/>
  <c r="E61" i="21"/>
  <c r="J61" i="21"/>
  <c r="F52" i="21"/>
  <c r="D62" i="3" l="1"/>
  <c r="D56" i="3"/>
  <c r="J24" i="38"/>
  <c r="E220" i="38"/>
  <c r="C219" i="38" s="1"/>
  <c r="E219" i="38" s="1"/>
  <c r="E221" i="38"/>
  <c r="D43" i="3"/>
  <c r="D65" i="3"/>
  <c r="C222" i="38"/>
  <c r="E222" i="38" s="1"/>
  <c r="D225" i="38"/>
  <c r="F58" i="21"/>
  <c r="L58" i="21" s="1"/>
  <c r="N58" i="21" s="1"/>
  <c r="F59" i="21"/>
  <c r="L59" i="21" s="1"/>
  <c r="L52" i="21"/>
  <c r="L60" i="21"/>
  <c r="N60" i="21" s="1"/>
  <c r="L61" i="21"/>
  <c r="N61" i="21" s="1"/>
  <c r="F51" i="21"/>
  <c r="L51" i="21" s="1"/>
  <c r="F57" i="21"/>
  <c r="L57" i="21" s="1"/>
  <c r="F56" i="21"/>
  <c r="L56" i="21" s="1"/>
  <c r="N56" i="21" s="1"/>
  <c r="F55" i="21"/>
  <c r="L55" i="21" s="1"/>
  <c r="N55" i="21" s="1"/>
  <c r="F54" i="21"/>
  <c r="L54" i="21" s="1"/>
  <c r="F53" i="21"/>
  <c r="L53" i="21" s="1"/>
  <c r="G63" i="21"/>
  <c r="M52" i="21"/>
  <c r="M53" i="21"/>
  <c r="M54" i="21"/>
  <c r="M55" i="21"/>
  <c r="M56" i="21"/>
  <c r="M57" i="21"/>
  <c r="M58" i="21"/>
  <c r="M59" i="21"/>
  <c r="M60" i="21"/>
  <c r="M61" i="21"/>
  <c r="M51" i="21"/>
  <c r="I4" i="38" l="1"/>
  <c r="D51" i="3"/>
  <c r="D42" i="3"/>
  <c r="E225" i="38"/>
  <c r="C225" i="38"/>
  <c r="D230" i="38"/>
  <c r="C230" i="38"/>
  <c r="N53" i="21"/>
  <c r="N54" i="21"/>
  <c r="N52" i="21"/>
  <c r="N59" i="21"/>
  <c r="N57" i="21"/>
  <c r="N51" i="21"/>
  <c r="D47" i="3" l="1"/>
  <c r="D50" i="3"/>
  <c r="D54" i="3"/>
  <c r="D55" i="3"/>
  <c r="E233" i="38"/>
  <c r="D231" i="38"/>
  <c r="E230" i="38"/>
  <c r="E231" i="38"/>
  <c r="N63" i="21"/>
  <c r="D48" i="3" l="1"/>
  <c r="D57" i="3"/>
  <c r="H24" i="21"/>
  <c r="H63" i="21" l="1"/>
  <c r="I63" i="21"/>
  <c r="F63" i="21"/>
  <c r="J52" i="21"/>
  <c r="J53" i="21"/>
  <c r="J54" i="21"/>
  <c r="J55" i="21"/>
  <c r="J56" i="21"/>
  <c r="J57" i="21"/>
  <c r="J58" i="21"/>
  <c r="J59" i="21"/>
  <c r="J60" i="21"/>
  <c r="J51" i="21"/>
  <c r="D87" i="21" l="1"/>
  <c r="L63" i="21"/>
  <c r="J63" i="21"/>
  <c r="D86" i="21" l="1"/>
  <c r="D85" i="21"/>
  <c r="E75" i="21"/>
  <c r="D83" i="21" s="1"/>
  <c r="C63" i="21"/>
  <c r="E60" i="21"/>
  <c r="E59" i="21"/>
  <c r="E58" i="21"/>
  <c r="E57" i="21"/>
  <c r="D63" i="21"/>
  <c r="D79" i="21" s="1"/>
  <c r="E55" i="21"/>
  <c r="E52" i="21"/>
  <c r="E51" i="21"/>
  <c r="F47" i="21"/>
  <c r="D78" i="21" s="1"/>
  <c r="I24" i="21"/>
  <c r="G24" i="21"/>
  <c r="E24" i="21"/>
  <c r="C24" i="21"/>
  <c r="C9" i="21"/>
  <c r="C8" i="21"/>
  <c r="C7" i="21"/>
  <c r="C6" i="21"/>
  <c r="H4" i="21"/>
  <c r="G4" i="21"/>
  <c r="F4" i="21"/>
  <c r="C90" i="21" s="1"/>
  <c r="E4" i="21"/>
  <c r="D4" i="21"/>
  <c r="C4" i="21"/>
  <c r="B4" i="21"/>
  <c r="D80" i="21" l="1"/>
  <c r="B62" i="3" s="1"/>
  <c r="K79" i="3" s="1"/>
  <c r="M63" i="21"/>
  <c r="J17" i="21"/>
  <c r="J21" i="21"/>
  <c r="J15" i="21"/>
  <c r="J19" i="21"/>
  <c r="J23" i="21"/>
  <c r="F24" i="21"/>
  <c r="J18" i="21"/>
  <c r="J22" i="21"/>
  <c r="D24" i="21"/>
  <c r="J20" i="21"/>
  <c r="J16" i="21"/>
  <c r="C80" i="21"/>
  <c r="D82" i="21"/>
  <c r="B66" i="3"/>
  <c r="K81" i="3" s="1"/>
  <c r="D81" i="21"/>
  <c r="B64" i="3"/>
  <c r="K80" i="3" s="1"/>
  <c r="J14" i="21"/>
  <c r="C79" i="21"/>
  <c r="E79" i="21" s="1"/>
  <c r="C78" i="21" s="1"/>
  <c r="E78" i="21" s="1"/>
  <c r="B45" i="3"/>
  <c r="B59" i="3"/>
  <c r="J78" i="3" s="1"/>
  <c r="E56" i="21"/>
  <c r="E63" i="21" s="1"/>
  <c r="C82" i="21" l="1"/>
  <c r="E82" i="21" s="1"/>
  <c r="E80" i="21"/>
  <c r="B56" i="3"/>
  <c r="B60" i="3"/>
  <c r="K78" i="3" s="1"/>
  <c r="B65" i="3"/>
  <c r="J81" i="3" s="1"/>
  <c r="B44" i="3"/>
  <c r="B61" i="3"/>
  <c r="J79" i="3" s="1"/>
  <c r="D84" i="21"/>
  <c r="C81" i="21"/>
  <c r="E81" i="21" s="1"/>
  <c r="B43" i="3"/>
  <c r="J24" i="21"/>
  <c r="B63" i="3" l="1"/>
  <c r="J80" i="3" s="1"/>
  <c r="C89" i="21"/>
  <c r="B51" i="3"/>
  <c r="E84" i="21"/>
  <c r="D89" i="21"/>
  <c r="C84" i="21"/>
  <c r="I4" i="21"/>
  <c r="B42" i="3" l="1"/>
  <c r="B47" i="3"/>
  <c r="J82" i="3" s="1"/>
  <c r="C17" i="40" s="1"/>
  <c r="B50" i="3"/>
  <c r="B55" i="3"/>
  <c r="K77" i="3" s="1"/>
  <c r="K83" i="3" s="1"/>
  <c r="C19" i="40" s="1"/>
  <c r="B54" i="3"/>
  <c r="J77" i="3" s="1"/>
  <c r="E90" i="21"/>
  <c r="D90" i="21"/>
  <c r="E89" i="21"/>
  <c r="E92" i="21"/>
  <c r="B48" i="3" l="1"/>
  <c r="K82" i="3" s="1"/>
  <c r="C18" i="40" s="1"/>
  <c r="B5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tc={8623EE61-A1EC-4F7F-888E-F265D10C787F}</author>
  </authors>
  <commentList>
    <comment ref="A1" authorId="0" shapeId="0" xr:uid="{8623EE61-A1EC-4F7F-888E-F265D10C787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Anpassung 2023:
Allgemeinkosten 5% in Margenberechnung
Stundensatz PM/ Konstruktion 47€
Antwort:
    SQL Abfrage für Kopfdaten aus MyFactory hinzugefügt
Antwort:
    SQL Abfragen PA, VK, Stunden (nochBETA!!!)
Controlingblatt für aktuelle KW automatisch anlegen
KW Blätter aus altdatei einlesen
Antwort:
    "Import Altdaten" erweitert jetzt Spalten in Auswertung
Antwort:
    Neue Abfrage für PA Daten
Antwort:
    Offene Arbeit wird Abgefragt
Antwort:
    bugfix Material
Antwort:
    Abfrage Artikelnummer
Antwort:
    bugfix Auswertungsspalten
Antwort:
    Endtermin in template ohne Funktion (muss händisch eingetragen werden)
Antwort:
    VK einlesen entsprechend vorgegebenem Schema
Antwort:
    Bugfix Abfrage Projekt- &amp; Konstruktionsstunden IST
Antwort:
    Stundenauswertung -&gt; VK / Vertriebsunterstützung wird ausgewertet. Konstruktion(Projektbetreuung) wird auf PM gezählt
Antwort:
    PA Status wird abgefragt
 bei "Eingeplant" ArbeitIST = ArbeitSoll
Antwort:
    Bugfix Offene Arbeit
Bugfix Grafik ohne template
Antwort:
    Neues Modul VK Einlesen. Es können jetzt die Artikel ausgewählt werden, die berücksichtigt werden sollen.
Antwort:
    Bugfix VK holen
Antwort:
    Zeiten Arbeitsgänge eingefügt auf Deckblatt
Antwort:
    Arbeitsgänge "Soll" korrigiert
Antwort:
    Arbeitsgangabfrage überarbeitet
Antwort:
    neue Version über Plug-In
Antwort:
    Dropdownliste in Projektabschluss im Feld "Projektart" eingefügt
Antwort:
    Change Management entfernt
Stundensatz PM und KO auf 53€ angepasst. Format auf .xlsx angepasst für SharePoint Migration
</t>
      </text>
    </comment>
  </commentList>
</comments>
</file>

<file path=xl/sharedStrings.xml><?xml version="1.0" encoding="utf-8"?>
<sst xmlns="http://schemas.openxmlformats.org/spreadsheetml/2006/main" count="912" uniqueCount="302">
  <si>
    <t>Für Datenabfragen bitte PVCS PM Controlling AddIn installieren</t>
  </si>
  <si>
    <t>aktuelle KW</t>
  </si>
  <si>
    <t>Status</t>
  </si>
  <si>
    <t xml:space="preserve">           nach installation in Ribbon Bar zu finden unter:</t>
  </si>
  <si>
    <t>Projektdaten</t>
  </si>
  <si>
    <t>Arbeitsganggruppe</t>
  </si>
  <si>
    <t>Soll (h)</t>
  </si>
  <si>
    <t>Ist (h)</t>
  </si>
  <si>
    <t>Projektkategorie</t>
  </si>
  <si>
    <t>Ausheizen</t>
  </si>
  <si>
    <t>Projektnummer</t>
  </si>
  <si>
    <t>Beschriften</t>
  </si>
  <si>
    <t>Kunde</t>
  </si>
  <si>
    <t>Dichtheitsprüfung</t>
  </si>
  <si>
    <t>Projektbezeichnung</t>
  </si>
  <si>
    <t>Drehen CNC</t>
  </si>
  <si>
    <t>Umsatz</t>
  </si>
  <si>
    <t>€/$ Kurs</t>
  </si>
  <si>
    <t>Drehen konventionell</t>
  </si>
  <si>
    <t>Nachträge</t>
  </si>
  <si>
    <t>A</t>
  </si>
  <si>
    <t>B</t>
  </si>
  <si>
    <t>C</t>
  </si>
  <si>
    <t>D</t>
  </si>
  <si>
    <t>Endabnahme</t>
  </si>
  <si>
    <t>Finish</t>
  </si>
  <si>
    <t>VK</t>
  </si>
  <si>
    <t>Fräsen PAMA</t>
  </si>
  <si>
    <t>Liefertermin AB</t>
  </si>
  <si>
    <t>Fräsen TOS</t>
  </si>
  <si>
    <t>AB-Nummer</t>
  </si>
  <si>
    <t>Fräsen CNC</t>
  </si>
  <si>
    <t>Projektleiter</t>
  </si>
  <si>
    <t>Fräsen konventionell</t>
  </si>
  <si>
    <t>Konstrukteur</t>
  </si>
  <si>
    <t>Glasperlstrahlen</t>
  </si>
  <si>
    <t>Montage</t>
  </si>
  <si>
    <t>Montage RR</t>
  </si>
  <si>
    <t>Artikelnummer(n)</t>
  </si>
  <si>
    <t>QS, VT, PT</t>
  </si>
  <si>
    <t>Artikelbeschreibung</t>
  </si>
  <si>
    <t>Bezeichnung</t>
  </si>
  <si>
    <t>Reinigen</t>
  </si>
  <si>
    <t>Kommentar</t>
  </si>
  <si>
    <t>RGA</t>
  </si>
  <si>
    <t xml:space="preserve">Schweißen Laser </t>
  </si>
  <si>
    <t>Schweißen WIG</t>
  </si>
  <si>
    <t>Schweißen Orbital</t>
  </si>
  <si>
    <t>Zuschnitt</t>
  </si>
  <si>
    <t>sonstige</t>
  </si>
  <si>
    <t>SUMME</t>
  </si>
  <si>
    <t>&lt;-- nicht löschen oder ändern</t>
  </si>
  <si>
    <t>Auswertung</t>
  </si>
  <si>
    <t>template</t>
  </si>
  <si>
    <t>Vorkalkulation</t>
  </si>
  <si>
    <t>PM</t>
  </si>
  <si>
    <t>Fertigung</t>
  </si>
  <si>
    <t>Material</t>
  </si>
  <si>
    <t>Marge geplant</t>
  </si>
  <si>
    <t>Marge IST</t>
  </si>
  <si>
    <t>HK Plan</t>
  </si>
  <si>
    <t>HK IST</t>
  </si>
  <si>
    <t>Erwartete Gesamtkosten</t>
  </si>
  <si>
    <t>HK Soll</t>
  </si>
  <si>
    <t>Gesamt IST</t>
  </si>
  <si>
    <t>Ausstehende Kosten</t>
  </si>
  <si>
    <t>Abweichung</t>
  </si>
  <si>
    <t>Material HK</t>
  </si>
  <si>
    <t>Material IST</t>
  </si>
  <si>
    <t>Fertigung HK</t>
  </si>
  <si>
    <t>Fertigung IST</t>
  </si>
  <si>
    <t>PM HK</t>
  </si>
  <si>
    <t>PM IST</t>
  </si>
  <si>
    <t>Konstruktuion HK</t>
  </si>
  <si>
    <t>Konstruktion IST</t>
  </si>
  <si>
    <t>Projekabschluss-Daten</t>
  </si>
  <si>
    <t>Soll</t>
  </si>
  <si>
    <t>Ist</t>
  </si>
  <si>
    <t>Gesamt</t>
  </si>
  <si>
    <t>Konstruktion</t>
  </si>
  <si>
    <t>Marge %</t>
  </si>
  <si>
    <t>Marge €</t>
  </si>
  <si>
    <t>Serie</t>
  </si>
  <si>
    <t>Prototyp</t>
  </si>
  <si>
    <t>Wiederholprojekt</t>
  </si>
  <si>
    <t>Einzelprojekt</t>
  </si>
  <si>
    <t>pünktlich</t>
  </si>
  <si>
    <t>verspätet</t>
  </si>
  <si>
    <t>Endkunde</t>
  </si>
  <si>
    <t>Kategorie</t>
  </si>
  <si>
    <t>Anwendung</t>
  </si>
  <si>
    <t>Projektart</t>
  </si>
  <si>
    <t>Marge SOLL</t>
  </si>
  <si>
    <t>Lieferung</t>
  </si>
  <si>
    <t>Kurzbeschreibung Produkt</t>
  </si>
  <si>
    <t>Kommentare zu Projektergebnis und Lieferzeit</t>
  </si>
  <si>
    <t>Platz für Bilder</t>
  </si>
  <si>
    <t>Lessons Learned</t>
  </si>
  <si>
    <t>Thema</t>
  </si>
  <si>
    <t>Maßnahme</t>
  </si>
  <si>
    <t>Fachbereich</t>
  </si>
  <si>
    <t>Arbeitsgang</t>
  </si>
  <si>
    <t>IST (h)</t>
  </si>
  <si>
    <t>Auftraggeber</t>
  </si>
  <si>
    <t>Endtermin</t>
  </si>
  <si>
    <t>Gesamtstatus</t>
  </si>
  <si>
    <t>Projektteam</t>
  </si>
  <si>
    <t>Besonderheiten</t>
  </si>
  <si>
    <t>Vorkalkulation(en)</t>
  </si>
  <si>
    <t>Kommentar:
-</t>
  </si>
  <si>
    <r>
      <t xml:space="preserve">PM </t>
    </r>
    <r>
      <rPr>
        <i/>
        <u/>
        <sz val="11"/>
        <color theme="1"/>
        <rFont val="Calibri"/>
        <family val="2"/>
        <scheme val="minor"/>
      </rPr>
      <t>(PMK)</t>
    </r>
  </si>
  <si>
    <r>
      <t xml:space="preserve">Konstruktion </t>
    </r>
    <r>
      <rPr>
        <i/>
        <u/>
        <sz val="11"/>
        <color theme="1"/>
        <rFont val="Calibri"/>
        <family val="2"/>
        <scheme val="minor"/>
      </rPr>
      <t>(KOK)</t>
    </r>
  </si>
  <si>
    <t>Stunden</t>
  </si>
  <si>
    <t>Kosten</t>
  </si>
  <si>
    <t>PMK</t>
  </si>
  <si>
    <t>KOK</t>
  </si>
  <si>
    <t>Kommentar:
- Bisher in MF erfaßt Stunden</t>
  </si>
  <si>
    <t>Einkauf</t>
  </si>
  <si>
    <t>Kommentar:
- Beschreibung = Lieferant oder Ware (z.B. "Werinox","Plattenmaterial", "Kammerrahmen", etc)
- Kommentar = z.B. "angefragt", "bestellt", "geliefert"
- Wert = Bestellwert MF
- in PA = Nach PA-Beginn wird "Wert" nach rechts  "in PA" verschoben und "Wert" auf null gesetzt. Dies kann anteilig nötig sein wenn bestelltes Material in verschiede PAs aufgeht.</t>
  </si>
  <si>
    <t>Beschreibung</t>
  </si>
  <si>
    <t>BE-Nummer</t>
  </si>
  <si>
    <t>Wert</t>
  </si>
  <si>
    <t>in PA</t>
  </si>
  <si>
    <t>EKM</t>
  </si>
  <si>
    <t>Produktion</t>
  </si>
  <si>
    <t>laufende PAs</t>
  </si>
  <si>
    <t>Plankosten</t>
  </si>
  <si>
    <t>abgeschlossene PAs</t>
  </si>
  <si>
    <t>PA Auswertung Status und Lohnkosten</t>
  </si>
  <si>
    <t xml:space="preserve">Kommentar:
- Reihenfolge der PA-Einträge muss Reihenfolge in MF entsprechen
- Plankosten = Summe der Lohn-Plankosten MF
- Arbeit = Summe der Lohn-Istkosten MF
- offene Arbeit = Plankosten minus  Lohn-Plankosten (MF) der abgeschlossenen Arbeitsschritte
- Abgeschlossene PAs, die noch nciht aufgegangen sind, werden ausgegraut
- Abgeschlossenen PAs, die aufgegangen sind, werden anch rechts verschoben und links entfernt
</t>
  </si>
  <si>
    <t>Produktionsaufträge</t>
  </si>
  <si>
    <t>Arbeit</t>
  </si>
  <si>
    <t>Summe</t>
  </si>
  <si>
    <t>offen Arbeit</t>
  </si>
  <si>
    <t>PA-Name</t>
  </si>
  <si>
    <t>Erwartete 
Abarbeitung</t>
  </si>
  <si>
    <t>Verbrauchte 
Plankosten</t>
  </si>
  <si>
    <t>Kostenabweichung</t>
  </si>
  <si>
    <t>PA1</t>
  </si>
  <si>
    <t>Kammer montiert</t>
  </si>
  <si>
    <t>PA2</t>
  </si>
  <si>
    <t>Tür</t>
  </si>
  <si>
    <t>PA3</t>
  </si>
  <si>
    <t>Aufsatz</t>
  </si>
  <si>
    <t>PA4</t>
  </si>
  <si>
    <t>Kammer roh</t>
  </si>
  <si>
    <t>PA5</t>
  </si>
  <si>
    <t>Typenschild</t>
  </si>
  <si>
    <t>PA6</t>
  </si>
  <si>
    <t>Bolzen</t>
  </si>
  <si>
    <t>PA7</t>
  </si>
  <si>
    <t>Cooling plate</t>
  </si>
  <si>
    <t>PA8</t>
  </si>
  <si>
    <t>Einschub</t>
  </si>
  <si>
    <t>PA9</t>
  </si>
  <si>
    <t>Halter links</t>
  </si>
  <si>
    <t>PA10</t>
  </si>
  <si>
    <t>Halter rechts</t>
  </si>
  <si>
    <t>PDK</t>
  </si>
  <si>
    <t>PDM</t>
  </si>
  <si>
    <t>PDKG</t>
  </si>
  <si>
    <t xml:space="preserve">Kommentar:
</t>
  </si>
  <si>
    <t>Interne Reklamationen</t>
  </si>
  <si>
    <t>Projekt</t>
  </si>
  <si>
    <t>Verursacher</t>
  </si>
  <si>
    <t>REK</t>
  </si>
  <si>
    <t>Kostenverursacher</t>
  </si>
  <si>
    <t>Vergleich</t>
  </si>
  <si>
    <t>Kommentar:
- Austehende Kosten PM = geschätze PM-Stunden bis zum Projektende
- Ausstehende Kosten Konstr.= Geschätzte Konstruktionsstunden bis Projektende
- Sonstige Kosten = Alle vom PM geschätzten weiteren Kosten, die nicht erfaßt wurden</t>
  </si>
  <si>
    <t>Material EK</t>
  </si>
  <si>
    <t>Material PA</t>
  </si>
  <si>
    <t>Fertigung Arbeit</t>
  </si>
  <si>
    <t>Interne Reklamation</t>
  </si>
  <si>
    <t>ausstehe. Kosten PM (h)</t>
  </si>
  <si>
    <r>
      <rPr>
        <b/>
        <sz val="11"/>
        <color theme="1"/>
        <rFont val="Calibri"/>
        <family val="2"/>
        <scheme val="minor"/>
      </rPr>
      <t>Detaillierung zu "sonstige Kosten":</t>
    </r>
    <r>
      <rPr>
        <sz val="11"/>
        <color theme="1"/>
        <rFont val="Calibri"/>
        <family val="2"/>
        <scheme val="minor"/>
      </rPr>
      <t xml:space="preserve">
- Epolieren, Loctite, Sprühlack, etc</t>
    </r>
  </si>
  <si>
    <t>aussteh. Kosten Konstr. (h)</t>
  </si>
  <si>
    <t>aussteh. Kosten Fertigung</t>
  </si>
  <si>
    <t>sonstige Kosten (Σ)</t>
  </si>
  <si>
    <t>Erwartetes Ergebnis</t>
  </si>
  <si>
    <t>Marge real</t>
  </si>
  <si>
    <t>Kommentar:
- Stundensatz Jan 2024 auf 50€ erhöht
- Bitte in VK eintragen wie in VK gerechnet</t>
  </si>
  <si>
    <t>VK / Vertriebsunterstützung</t>
  </si>
  <si>
    <t>Lohn-Plankosten</t>
  </si>
  <si>
    <t>Artikel Nr. - Bezeichnung</t>
  </si>
  <si>
    <t>P47551</t>
  </si>
  <si>
    <t>TR-8880-19709</t>
  </si>
  <si>
    <t>horizontal vacuum chamber</t>
  </si>
  <si>
    <t>PFEIFFER BENELUX</t>
  </si>
  <si>
    <t xml:space="preserve">AB-25-05246 </t>
  </si>
  <si>
    <t xml:space="preserve">VK2400337 </t>
  </si>
  <si>
    <t>VK2400337</t>
  </si>
  <si>
    <t>Plomer</t>
  </si>
  <si>
    <t>kundenspezfische Hochvakuumkammer DN600 Horizontal Länge: 900 mm</t>
  </si>
  <si>
    <t>KW14</t>
  </si>
  <si>
    <t>KW46</t>
  </si>
  <si>
    <t>PA061254</t>
  </si>
  <si>
    <t>Eingeplant</t>
  </si>
  <si>
    <t>PA061255</t>
  </si>
  <si>
    <t>PA061257</t>
  </si>
  <si>
    <t>Angearbeitet</t>
  </si>
  <si>
    <t>PA061258</t>
  </si>
  <si>
    <t>PA061260</t>
  </si>
  <si>
    <t>PA061261</t>
  </si>
  <si>
    <t>PA061262</t>
  </si>
  <si>
    <t>PA061263</t>
  </si>
  <si>
    <t>PA061265</t>
  </si>
  <si>
    <t>PA061266</t>
  </si>
  <si>
    <t>PA061267</t>
  </si>
  <si>
    <t>PA061268</t>
  </si>
  <si>
    <t>PA061269</t>
  </si>
  <si>
    <t>Fertiggemeldet</t>
  </si>
  <si>
    <t>PA061270</t>
  </si>
  <si>
    <t>PA061271</t>
  </si>
  <si>
    <t>TR-8880-19709 - kundenspezfische Hochvakuumkammer DN600</t>
  </si>
  <si>
    <t>TR-0000072423 - Tür DN600 bearbeitet</t>
  </si>
  <si>
    <t>TR-0000072423-R - Tür DN600 bearbeitet - Roh</t>
  </si>
  <si>
    <t>TR-0000072419 - Kammerkorpus, DN 600</t>
  </si>
  <si>
    <t xml:space="preserve">TR-0000072419-R - Kammerkorpus, DN 600 - Roh </t>
  </si>
  <si>
    <t>TR-0000072422 - Typenschild beschriftet</t>
  </si>
  <si>
    <t>TR-0000073137 - Halter Auszug</t>
  </si>
  <si>
    <t>TR-0000072611 - Tür DN600 bearbeitet</t>
  </si>
  <si>
    <t>TR-0000072611-R - Tür DN600 bearbeitet - Roh</t>
  </si>
  <si>
    <t>TR-0000074647 - BG Schiene</t>
  </si>
  <si>
    <t>TR-0000075541 - SFC / LFC - Klemmblöck bearbeitet</t>
  </si>
  <si>
    <t>820KBH0500-020 - Scharnier</t>
  </si>
  <si>
    <t>820KBH0500-018 - Scharnierteil Tür</t>
  </si>
  <si>
    <t>820KBH0500-019 - Scharnierteil Kammer</t>
  </si>
  <si>
    <t>820KBH0500-017 - Scharnierachse</t>
  </si>
  <si>
    <t>AG000007</t>
  </si>
  <si>
    <t>Beschriften (Laserbeschriften) - Typenschild beschriftet</t>
  </si>
  <si>
    <t>AG000059</t>
  </si>
  <si>
    <t>Drehen - CNC - Vordrehen mit Gewinde</t>
  </si>
  <si>
    <t>AG000031</t>
  </si>
  <si>
    <t>Drehen - Konventionell - Rohre plandrehen, Flansche anpassen</t>
  </si>
  <si>
    <t>AG000014</t>
  </si>
  <si>
    <t>Finish - Dichtflächen herstellen und vorbereiten zum Elektropolieren</t>
  </si>
  <si>
    <t>Finish - Kammerkorpus, DN 600</t>
  </si>
  <si>
    <t>Finish - Tür DN600 bearbeitet</t>
  </si>
  <si>
    <t>AG000035</t>
  </si>
  <si>
    <t>Fräsen - Bohrwerk TOS - Füße und Kammerflansche fertig fräsen</t>
  </si>
  <si>
    <t>Fräsen - Bohrwerk TOS - Grundrohr planfräsen, Flansche anpassen</t>
  </si>
  <si>
    <t>Fräsen - Bohrwerk TOS - Kammer bohren</t>
  </si>
  <si>
    <t>Fräsen - Bohrwerk TOS - Tür fertig bearbeiten</t>
  </si>
  <si>
    <t>AG000032</t>
  </si>
  <si>
    <t xml:space="preserve">Fräsen - CNC - DMU 60P - fertigfräsen </t>
  </si>
  <si>
    <t>Fräsen - CNC - DMU 60P - Halter Auszug</t>
  </si>
  <si>
    <t>Fräsen - CNC - DMU 60P - Scharnierteil Kammer</t>
  </si>
  <si>
    <t>Fräsen - CNC - DMU 60P - Scharnierteil Tür</t>
  </si>
  <si>
    <t>Fräsen - CNC - DMU 60P - SFC / LFC - Klemmblöck bearbeitet</t>
  </si>
  <si>
    <t>AG000018</t>
  </si>
  <si>
    <t>Glasperlstrahlen - Kammer Außen strahlen</t>
  </si>
  <si>
    <t>Glasperlstrahlen - Scharnierteil Kammer</t>
  </si>
  <si>
    <t>Glasperlstrahlen - Scharnierteil Tür</t>
  </si>
  <si>
    <t>Glasperlstrahlen - Tür außen strahlen</t>
  </si>
  <si>
    <t>Glasperlstrahlen - Tür außen Strahlen</t>
  </si>
  <si>
    <t>AG000042</t>
  </si>
  <si>
    <t>Konfektionieren - BG Schiene</t>
  </si>
  <si>
    <t>Konfektionieren - Scharnier</t>
  </si>
  <si>
    <t>AG000047</t>
  </si>
  <si>
    <t>Konstruktion - kundenspezfische Hochvakuumkammer DN600</t>
  </si>
  <si>
    <t>AG000029</t>
  </si>
  <si>
    <t>Montage Kammern &amp; Dichtheitsprüfung - kundenspezfische Hochvakuumkammer DN600</t>
  </si>
  <si>
    <t>Montage Kammern &amp; Dichtheitsprüfung - Schneidenschutz montieren</t>
  </si>
  <si>
    <t>Montage Kammern &amp; Dichtheitsprüfung - Vorbereiten zum Elektropolieren</t>
  </si>
  <si>
    <t>AG000046</t>
  </si>
  <si>
    <t>Projektbetreuung - kundenspezfische Hochvakuumkammer DN600</t>
  </si>
  <si>
    <t>AG000025</t>
  </si>
  <si>
    <t>QS - Endabnahme inkl. Dokumentation über Q-Studio - Halter Auszug</t>
  </si>
  <si>
    <t>QS - Endabnahme inkl. Dokumentation über Q-Studio - Kammerkorpus, DN 600</t>
  </si>
  <si>
    <t>QS - Endabnahme inkl. Dokumentation über Q-Studio - kundenspezfische Hochvakuumkammer DN600</t>
  </si>
  <si>
    <t>QS - Endabnahme inkl. Dokumentation über Q-Studio - Scharnierachse</t>
  </si>
  <si>
    <t>QS - Endabnahme inkl. Dokumentation über Q-Studio - Scharnierteil Kammer</t>
  </si>
  <si>
    <t>QS - Endabnahme inkl. Dokumentation über Q-Studio - Scharnierteil Tür</t>
  </si>
  <si>
    <t>QS - Endabnahme inkl. Dokumentation über Q-Studio - SFC / LFC - Klemmblöck bearbeitet</t>
  </si>
  <si>
    <t>QS - Endabnahme inkl. Dokumentation über Q-Studio - Tür DN600 bearbeitet - Roh</t>
  </si>
  <si>
    <t>QS - Endabnahme inkl. Dokumentation über Q-Studio - Typenschild beschriftet</t>
  </si>
  <si>
    <t>AG000034</t>
  </si>
  <si>
    <t>Reinigung Kammern - Kammerkorpus, DN 600</t>
  </si>
  <si>
    <t>Reinigung Kammern - Scharnierteil Kammer</t>
  </si>
  <si>
    <t>Reinigung Kammern - Tür DN600 bearbeitet</t>
  </si>
  <si>
    <t>Reinigung Kammern - Tür DN600 bearbeitet - Roh</t>
  </si>
  <si>
    <t>Reinigung Kammern - Zwischenreinigung</t>
  </si>
  <si>
    <t>AG000009</t>
  </si>
  <si>
    <t>Reinigung Ultraschall - Halter Auszug</t>
  </si>
  <si>
    <t>Reinigung Ultraschall - Scharnierachse</t>
  </si>
  <si>
    <t>Reinigung Ultraschall - Scharnierteil Tür</t>
  </si>
  <si>
    <t>Reinigung Ultraschall - SFC / LFC - Klemmblöck bearbeitet</t>
  </si>
  <si>
    <t>AG000017</t>
  </si>
  <si>
    <t>Schweißen - Laser 8000W - Kammerkorpus, DN 600</t>
  </si>
  <si>
    <t>AG000043</t>
  </si>
  <si>
    <t>Schweißen - WIG Groß - Füße bauen und anschweißen, FRAs und Halter einschweißen</t>
  </si>
  <si>
    <t>Schweißen - WIG Groß - Kammerflansche an Grundrohr heften, FRAs bauen</t>
  </si>
  <si>
    <t>AG000016</t>
  </si>
  <si>
    <t>Schweißen - WIG Klein - Griff anschweißen</t>
  </si>
  <si>
    <t xml:space="preserve">Schweißen - WIG Klein - Griff und Einscheißflansch anschweißen </t>
  </si>
  <si>
    <t>AG000011</t>
  </si>
  <si>
    <t>Zuschnitt - Halter Auszug</t>
  </si>
  <si>
    <t>Zuschnitt - Kammerkorpus, DN 600</t>
  </si>
  <si>
    <t>Zuschnitt - Scharnierteil Kammer</t>
  </si>
  <si>
    <t>Zuschnitt - Scharnierteil Tür</t>
  </si>
  <si>
    <t>Zuschnitt - Stabstahl beistellen</t>
  </si>
  <si>
    <t>KW53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</si>
</sst>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  <numFmt numFmtId="166" formatCode="#,##0.00\ [$€-407];\-#,##0.00\ [$€-407]"/>
    <numFmt numFmtId="167" formatCode="_-* #,##0.00\ _D_M_-;\-* #,##0.00\ _D_M_-;_-* &quot;-&quot;??\ _D_M_-;_-@_-"/>
    <numFmt numFmtId="168" formatCode="_-* #,##0\ _D_M_-;\-* #,##0\ _D_M_-;_-* &quot;-&quot;\ _D_M_-;_-@_-"/>
    <numFmt numFmtId="169" formatCode="_-* #,##0\ &quot;DM&quot;_-;\-* #,##0\ &quot;DM&quot;_-;_-* &quot;-&quot;\ &quot;DM&quot;_-;_-@_-"/>
    <numFmt numFmtId="170" formatCode="_-* #,##0.00\ &quot;DM&quot;_-;\-* #,##0.00\ &quot;DM&quot;_-;_-* &quot;-&quot;??\ &quot;DM&quot;_-;_-@_-"/>
    <numFmt numFmtId="171" formatCode="* #,##0.0\ [$h]_-;[Red]\-* #,##0.0\ [$h]_-;* &quot;-&quot;??\ [$h]_-;@_-"/>
    <numFmt numFmtId="172" formatCode="dd/mm/yy;@"/>
    <numFmt numFmtId="173" formatCode="&quot;Rev.: &quot;dd/mm/yyyy;@"/>
    <numFmt numFmtId="174" formatCode="_-* #,##0\ &quot;€&quot;_-;\-* #,##0\ &quot;€&quot;_-;_-* &quot;-&quot;??\ &quot;€&quot;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8000"/>
      <name val="Nunito Sans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indexed="4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5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0" fontId="3" fillId="4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22" fillId="0" borderId="0" applyNumberFormat="0" applyFill="0" applyBorder="0" applyAlignment="0" applyProtection="0"/>
  </cellStyleXfs>
  <cellXfs count="54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2" fillId="3" borderId="4" xfId="0" applyNumberFormat="1" applyFont="1" applyFill="1" applyBorder="1"/>
    <xf numFmtId="0" fontId="2" fillId="3" borderId="3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top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3" fillId="4" borderId="27" xfId="2" applyBorder="1"/>
    <xf numFmtId="0" fontId="2" fillId="3" borderId="41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0" fillId="3" borderId="17" xfId="0" applyFill="1" applyBorder="1"/>
    <xf numFmtId="165" fontId="0" fillId="0" borderId="31" xfId="0" applyNumberFormat="1" applyBorder="1" applyAlignment="1">
      <alignment horizontal="right"/>
    </xf>
    <xf numFmtId="0" fontId="2" fillId="3" borderId="32" xfId="0" applyFont="1" applyFill="1" applyBorder="1"/>
    <xf numFmtId="0" fontId="0" fillId="5" borderId="29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6" xfId="0" applyFill="1" applyBorder="1"/>
    <xf numFmtId="9" fontId="2" fillId="0" borderId="1" xfId="3" applyFont="1" applyBorder="1" applyAlignment="1">
      <alignment horizontal="center"/>
    </xf>
    <xf numFmtId="0" fontId="5" fillId="0" borderId="0" xfId="0" applyFont="1"/>
    <xf numFmtId="9" fontId="5" fillId="0" borderId="0" xfId="3" applyFont="1" applyAlignment="1">
      <alignment horizontal="center"/>
    </xf>
    <xf numFmtId="166" fontId="0" fillId="0" borderId="0" xfId="0" applyNumberFormat="1"/>
    <xf numFmtId="165" fontId="2" fillId="0" borderId="0" xfId="0" applyNumberFormat="1" applyFont="1"/>
    <xf numFmtId="0" fontId="6" fillId="3" borderId="38" xfId="0" applyFont="1" applyFill="1" applyBorder="1"/>
    <xf numFmtId="0" fontId="6" fillId="3" borderId="17" xfId="0" applyFont="1" applyFill="1" applyBorder="1"/>
    <xf numFmtId="9" fontId="2" fillId="0" borderId="15" xfId="3" applyFont="1" applyBorder="1" applyAlignment="1">
      <alignment horizontal="center"/>
    </xf>
    <xf numFmtId="0" fontId="8" fillId="0" borderId="0" xfId="5"/>
    <xf numFmtId="0" fontId="8" fillId="0" borderId="0" xfId="5" applyAlignment="1">
      <alignment horizontal="left"/>
    </xf>
    <xf numFmtId="0" fontId="10" fillId="0" borderId="0" xfId="5" applyFont="1"/>
    <xf numFmtId="0" fontId="2" fillId="5" borderId="25" xfId="0" applyFont="1" applyFill="1" applyBorder="1" applyAlignment="1">
      <alignment horizontal="center"/>
    </xf>
    <xf numFmtId="3" fontId="0" fillId="8" borderId="43" xfId="0" applyNumberFormat="1" applyFill="1" applyBorder="1"/>
    <xf numFmtId="165" fontId="0" fillId="8" borderId="43" xfId="0" applyNumberFormat="1" applyFill="1" applyBorder="1"/>
    <xf numFmtId="3" fontId="0" fillId="8" borderId="45" xfId="0" applyNumberFormat="1" applyFill="1" applyBorder="1"/>
    <xf numFmtId="165" fontId="0" fillId="0" borderId="45" xfId="0" applyNumberFormat="1" applyBorder="1"/>
    <xf numFmtId="165" fontId="0" fillId="8" borderId="45" xfId="0" applyNumberFormat="1" applyFill="1" applyBorder="1"/>
    <xf numFmtId="0" fontId="0" fillId="8" borderId="43" xfId="0" applyFill="1" applyBorder="1"/>
    <xf numFmtId="0" fontId="0" fillId="8" borderId="46" xfId="0" applyFill="1" applyBorder="1"/>
    <xf numFmtId="165" fontId="2" fillId="3" borderId="39" xfId="0" applyNumberFormat="1" applyFont="1" applyFill="1" applyBorder="1"/>
    <xf numFmtId="0" fontId="2" fillId="3" borderId="17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12" fillId="8" borderId="54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2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8" fillId="0" borderId="41" xfId="5" applyBorder="1"/>
    <xf numFmtId="0" fontId="8" fillId="0" borderId="46" xfId="5" applyBorder="1"/>
    <xf numFmtId="0" fontId="8" fillId="0" borderId="33" xfId="5" applyBorder="1"/>
    <xf numFmtId="0" fontId="8" fillId="0" borderId="45" xfId="5" applyBorder="1"/>
    <xf numFmtId="0" fontId="0" fillId="8" borderId="46" xfId="0" applyFill="1" applyBorder="1" applyAlignment="1">
      <alignment horizontal="right"/>
    </xf>
    <xf numFmtId="3" fontId="2" fillId="5" borderId="15" xfId="0" applyNumberFormat="1" applyFont="1" applyFill="1" applyBorder="1"/>
    <xf numFmtId="165" fontId="2" fillId="5" borderId="15" xfId="0" applyNumberFormat="1" applyFont="1" applyFill="1" applyBorder="1"/>
    <xf numFmtId="165" fontId="2" fillId="5" borderId="27" xfId="0" applyNumberFormat="1" applyFont="1" applyFill="1" applyBorder="1"/>
    <xf numFmtId="165" fontId="2" fillId="5" borderId="16" xfId="0" applyNumberFormat="1" applyFont="1" applyFill="1" applyBorder="1"/>
    <xf numFmtId="0" fontId="7" fillId="8" borderId="46" xfId="0" applyFont="1" applyFill="1" applyBorder="1"/>
    <xf numFmtId="165" fontId="7" fillId="8" borderId="43" xfId="0" applyNumberFormat="1" applyFont="1" applyFill="1" applyBorder="1"/>
    <xf numFmtId="165" fontId="7" fillId="8" borderId="3" xfId="0" applyNumberFormat="1" applyFont="1" applyFill="1" applyBorder="1"/>
    <xf numFmtId="0" fontId="7" fillId="8" borderId="30" xfId="0" applyFont="1" applyFill="1" applyBorder="1"/>
    <xf numFmtId="165" fontId="7" fillId="8" borderId="2" xfId="0" applyNumberFormat="1" applyFont="1" applyFill="1" applyBorder="1"/>
    <xf numFmtId="165" fontId="7" fillId="8" borderId="8" xfId="0" applyNumberFormat="1" applyFont="1" applyFill="1" applyBorder="1"/>
    <xf numFmtId="0" fontId="7" fillId="8" borderId="33" xfId="0" applyFont="1" applyFill="1" applyBorder="1"/>
    <xf numFmtId="165" fontId="7" fillId="8" borderId="26" xfId="0" applyNumberFormat="1" applyFont="1" applyFill="1" applyBorder="1"/>
    <xf numFmtId="165" fontId="7" fillId="8" borderId="47" xfId="0" applyNumberFormat="1" applyFont="1" applyFill="1" applyBorder="1"/>
    <xf numFmtId="0" fontId="6" fillId="11" borderId="40" xfId="0" applyFont="1" applyFill="1" applyBorder="1"/>
    <xf numFmtId="0" fontId="7" fillId="11" borderId="19" xfId="0" applyFont="1" applyFill="1" applyBorder="1"/>
    <xf numFmtId="165" fontId="7" fillId="0" borderId="0" xfId="0" applyNumberFormat="1" applyFont="1"/>
    <xf numFmtId="0" fontId="2" fillId="3" borderId="20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 vertical="top"/>
    </xf>
    <xf numFmtId="0" fontId="7" fillId="8" borderId="41" xfId="0" applyFont="1" applyFill="1" applyBorder="1" applyAlignment="1">
      <alignment horizontal="center"/>
    </xf>
    <xf numFmtId="0" fontId="10" fillId="0" borderId="12" xfId="5" applyFont="1" applyBorder="1"/>
    <xf numFmtId="171" fontId="11" fillId="0" borderId="56" xfId="5" applyNumberFormat="1" applyFont="1" applyBorder="1" applyAlignment="1">
      <alignment vertical="center"/>
    </xf>
    <xf numFmtId="0" fontId="0" fillId="0" borderId="56" xfId="0" applyBorder="1"/>
    <xf numFmtId="171" fontId="11" fillId="9" borderId="56" xfId="5" applyNumberFormat="1" applyFont="1" applyFill="1" applyBorder="1" applyAlignment="1">
      <alignment vertical="center"/>
    </xf>
    <xf numFmtId="0" fontId="0" fillId="9" borderId="56" xfId="0" applyFill="1" applyBorder="1"/>
    <xf numFmtId="0" fontId="2" fillId="9" borderId="56" xfId="0" applyFont="1" applyFill="1" applyBorder="1"/>
    <xf numFmtId="0" fontId="0" fillId="9" borderId="16" xfId="0" applyFill="1" applyBorder="1"/>
    <xf numFmtId="0" fontId="0" fillId="5" borderId="47" xfId="0" applyFill="1" applyBorder="1" applyAlignment="1">
      <alignment horizontal="center"/>
    </xf>
    <xf numFmtId="165" fontId="0" fillId="0" borderId="6" xfId="0" applyNumberFormat="1" applyBorder="1"/>
    <xf numFmtId="165" fontId="2" fillId="5" borderId="14" xfId="0" applyNumberFormat="1" applyFont="1" applyFill="1" applyBorder="1"/>
    <xf numFmtId="0" fontId="0" fillId="5" borderId="33" xfId="0" applyFill="1" applyBorder="1" applyAlignment="1">
      <alignment horizontal="center"/>
    </xf>
    <xf numFmtId="3" fontId="0" fillId="8" borderId="55" xfId="0" applyNumberFormat="1" applyFill="1" applyBorder="1"/>
    <xf numFmtId="165" fontId="2" fillId="0" borderId="36" xfId="0" applyNumberFormat="1" applyFont="1" applyBorder="1"/>
    <xf numFmtId="3" fontId="0" fillId="8" borderId="46" xfId="0" applyNumberFormat="1" applyFill="1" applyBorder="1"/>
    <xf numFmtId="3" fontId="2" fillId="5" borderId="25" xfId="0" applyNumberFormat="1" applyFont="1" applyFill="1" applyBorder="1"/>
    <xf numFmtId="165" fontId="7" fillId="8" borderId="23" xfId="0" applyNumberFormat="1" applyFont="1" applyFill="1" applyBorder="1" applyAlignment="1">
      <alignment horizontal="center"/>
    </xf>
    <xf numFmtId="165" fontId="7" fillId="8" borderId="23" xfId="0" applyNumberFormat="1" applyFont="1" applyFill="1" applyBorder="1"/>
    <xf numFmtId="0" fontId="2" fillId="6" borderId="9" xfId="0" applyFont="1" applyFill="1" applyBorder="1"/>
    <xf numFmtId="165" fontId="2" fillId="6" borderId="11" xfId="0" applyNumberFormat="1" applyFont="1" applyFill="1" applyBorder="1"/>
    <xf numFmtId="0" fontId="0" fillId="3" borderId="9" xfId="0" applyFill="1" applyBorder="1"/>
    <xf numFmtId="165" fontId="2" fillId="6" borderId="10" xfId="0" applyNumberFormat="1" applyFont="1" applyFill="1" applyBorder="1"/>
    <xf numFmtId="166" fontId="0" fillId="0" borderId="10" xfId="0" applyNumberFormat="1" applyBorder="1"/>
    <xf numFmtId="165" fontId="0" fillId="0" borderId="10" xfId="0" applyNumberFormat="1" applyBorder="1"/>
    <xf numFmtId="165" fontId="7" fillId="8" borderId="49" xfId="0" applyNumberFormat="1" applyFont="1" applyFill="1" applyBorder="1" applyAlignment="1">
      <alignment horizontal="center"/>
    </xf>
    <xf numFmtId="0" fontId="0" fillId="12" borderId="10" xfId="0" applyFill="1" applyBorder="1"/>
    <xf numFmtId="0" fontId="0" fillId="12" borderId="10" xfId="0" applyFill="1" applyBorder="1" applyAlignment="1">
      <alignment horizontal="center"/>
    </xf>
    <xf numFmtId="0" fontId="0" fillId="12" borderId="34" xfId="0" applyFill="1" applyBorder="1"/>
    <xf numFmtId="0" fontId="2" fillId="3" borderId="40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3" fontId="2" fillId="0" borderId="34" xfId="0" applyNumberFormat="1" applyFont="1" applyBorder="1"/>
    <xf numFmtId="165" fontId="2" fillId="0" borderId="34" xfId="0" applyNumberFormat="1" applyFont="1" applyBorder="1"/>
    <xf numFmtId="3" fontId="2" fillId="0" borderId="0" xfId="0" applyNumberFormat="1" applyFont="1"/>
    <xf numFmtId="0" fontId="0" fillId="8" borderId="9" xfId="0" applyFill="1" applyBorder="1" applyAlignment="1">
      <alignment horizontal="center"/>
    </xf>
    <xf numFmtId="165" fontId="0" fillId="0" borderId="48" xfId="0" applyNumberFormat="1" applyBorder="1"/>
    <xf numFmtId="0" fontId="0" fillId="8" borderId="60" xfId="0" applyFill="1" applyBorder="1" applyAlignment="1">
      <alignment horizontal="center"/>
    </xf>
    <xf numFmtId="165" fontId="0" fillId="0" borderId="11" xfId="0" applyNumberFormat="1" applyBorder="1"/>
    <xf numFmtId="0" fontId="0" fillId="12" borderId="19" xfId="0" applyFill="1" applyBorder="1"/>
    <xf numFmtId="0" fontId="0" fillId="12" borderId="13" xfId="0" applyFill="1" applyBorder="1"/>
    <xf numFmtId="0" fontId="2" fillId="13" borderId="20" xfId="0" applyFont="1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2" fillId="13" borderId="4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10" xfId="0" applyNumberFormat="1" applyFont="1" applyBorder="1"/>
    <xf numFmtId="165" fontId="2" fillId="0" borderId="10" xfId="0" applyNumberFormat="1" applyFont="1" applyBorder="1"/>
    <xf numFmtId="3" fontId="2" fillId="0" borderId="48" xfId="0" applyNumberFormat="1" applyFont="1" applyBorder="1"/>
    <xf numFmtId="165" fontId="2" fillId="0" borderId="19" xfId="0" applyNumberFormat="1" applyFont="1" applyBorder="1"/>
    <xf numFmtId="3" fontId="2" fillId="0" borderId="19" xfId="0" applyNumberFormat="1" applyFont="1" applyBorder="1"/>
    <xf numFmtId="0" fontId="2" fillId="12" borderId="9" xfId="0" applyFont="1" applyFill="1" applyBorder="1"/>
    <xf numFmtId="0" fontId="2" fillId="3" borderId="20" xfId="0" applyFont="1" applyFill="1" applyBorder="1"/>
    <xf numFmtId="0" fontId="2" fillId="3" borderId="20" xfId="0" applyFont="1" applyFill="1" applyBorder="1" applyAlignment="1">
      <alignment horizontal="left"/>
    </xf>
    <xf numFmtId="0" fontId="6" fillId="11" borderId="34" xfId="0" applyFont="1" applyFill="1" applyBorder="1" applyAlignment="1">
      <alignment horizontal="center"/>
    </xf>
    <xf numFmtId="0" fontId="7" fillId="11" borderId="20" xfId="0" applyFont="1" applyFill="1" applyBorder="1"/>
    <xf numFmtId="0" fontId="7" fillId="11" borderId="13" xfId="0" applyFont="1" applyFill="1" applyBorder="1"/>
    <xf numFmtId="0" fontId="7" fillId="11" borderId="35" xfId="0" applyFont="1" applyFill="1" applyBorder="1"/>
    <xf numFmtId="0" fontId="14" fillId="11" borderId="19" xfId="0" applyFont="1" applyFill="1" applyBorder="1" applyAlignment="1">
      <alignment horizontal="center"/>
    </xf>
    <xf numFmtId="0" fontId="0" fillId="13" borderId="20" xfId="0" applyFill="1" applyBorder="1"/>
    <xf numFmtId="0" fontId="0" fillId="13" borderId="40" xfId="0" applyFill="1" applyBorder="1"/>
    <xf numFmtId="0" fontId="13" fillId="0" borderId="0" xfId="0" applyFont="1" applyAlignment="1">
      <alignment horizontal="right"/>
    </xf>
    <xf numFmtId="165" fontId="2" fillId="13" borderId="26" xfId="0" applyNumberFormat="1" applyFont="1" applyFill="1" applyBorder="1"/>
    <xf numFmtId="165" fontId="2" fillId="12" borderId="59" xfId="0" applyNumberFormat="1" applyFont="1" applyFill="1" applyBorder="1"/>
    <xf numFmtId="0" fontId="2" fillId="3" borderId="27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1" fillId="8" borderId="43" xfId="1" applyNumberFormat="1" applyFont="1" applyFill="1" applyBorder="1" applyAlignment="1">
      <alignment horizontal="center"/>
    </xf>
    <xf numFmtId="0" fontId="14" fillId="11" borderId="48" xfId="0" applyFont="1" applyFill="1" applyBorder="1" applyAlignment="1">
      <alignment horizontal="left"/>
    </xf>
    <xf numFmtId="0" fontId="6" fillId="11" borderId="9" xfId="0" applyFont="1" applyFill="1" applyBorder="1"/>
    <xf numFmtId="165" fontId="6" fillId="11" borderId="59" xfId="0" applyNumberFormat="1" applyFont="1" applyFill="1" applyBorder="1" applyAlignment="1">
      <alignment horizontal="center"/>
    </xf>
    <xf numFmtId="0" fontId="0" fillId="13" borderId="0" xfId="0" applyFill="1"/>
    <xf numFmtId="0" fontId="6" fillId="11" borderId="10" xfId="0" applyFont="1" applyFill="1" applyBorder="1"/>
    <xf numFmtId="165" fontId="7" fillId="11" borderId="26" xfId="0" applyNumberFormat="1" applyFont="1" applyFill="1" applyBorder="1" applyAlignment="1">
      <alignment horizontal="center"/>
    </xf>
    <xf numFmtId="0" fontId="7" fillId="11" borderId="26" xfId="0" applyFont="1" applyFill="1" applyBorder="1" applyAlignment="1">
      <alignment horizontal="center"/>
    </xf>
    <xf numFmtId="0" fontId="7" fillId="11" borderId="26" xfId="0" applyFont="1" applyFill="1" applyBorder="1" applyAlignment="1">
      <alignment horizontal="left"/>
    </xf>
    <xf numFmtId="165" fontId="4" fillId="8" borderId="26" xfId="0" applyNumberFormat="1" applyFont="1" applyFill="1" applyBorder="1" applyAlignment="1">
      <alignment horizontal="right"/>
    </xf>
    <xf numFmtId="0" fontId="2" fillId="3" borderId="46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0" borderId="57" xfId="0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165" fontId="2" fillId="0" borderId="63" xfId="0" applyNumberFormat="1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7" xfId="0" applyBorder="1" applyAlignment="1">
      <alignment horizontal="center"/>
    </xf>
    <xf numFmtId="165" fontId="4" fillId="0" borderId="2" xfId="0" applyNumberFormat="1" applyFont="1" applyBorder="1" applyAlignment="1">
      <alignment horizontal="right"/>
    </xf>
    <xf numFmtId="165" fontId="4" fillId="0" borderId="45" xfId="0" applyNumberFormat="1" applyFont="1" applyBorder="1" applyAlignment="1">
      <alignment horizontal="right"/>
    </xf>
    <xf numFmtId="165" fontId="15" fillId="11" borderId="26" xfId="0" applyNumberFormat="1" applyFont="1" applyFill="1" applyBorder="1" applyAlignment="1">
      <alignment horizontal="center"/>
    </xf>
    <xf numFmtId="9" fontId="0" fillId="0" borderId="0" xfId="3" applyFont="1"/>
    <xf numFmtId="9" fontId="0" fillId="0" borderId="0" xfId="0" applyNumberFormat="1"/>
    <xf numFmtId="0" fontId="0" fillId="8" borderId="44" xfId="0" applyFill="1" applyBorder="1"/>
    <xf numFmtId="0" fontId="17" fillId="0" borderId="0" xfId="0" applyFont="1"/>
    <xf numFmtId="0" fontId="8" fillId="5" borderId="46" xfId="5" applyFill="1" applyBorder="1"/>
    <xf numFmtId="171" fontId="17" fillId="0" borderId="0" xfId="5" applyNumberFormat="1" applyFont="1" applyAlignment="1">
      <alignment vertical="center"/>
    </xf>
    <xf numFmtId="0" fontId="0" fillId="0" borderId="19" xfId="0" applyBorder="1"/>
    <xf numFmtId="0" fontId="0" fillId="9" borderId="17" xfId="0" applyFill="1" applyBorder="1"/>
    <xf numFmtId="0" fontId="0" fillId="9" borderId="40" xfId="0" applyFill="1" applyBorder="1"/>
    <xf numFmtId="0" fontId="17" fillId="0" borderId="34" xfId="0" applyFont="1" applyBorder="1"/>
    <xf numFmtId="0" fontId="0" fillId="10" borderId="20" xfId="0" applyFill="1" applyBorder="1"/>
    <xf numFmtId="174" fontId="0" fillId="9" borderId="17" xfId="4" applyNumberFormat="1" applyFont="1" applyFill="1" applyBorder="1" applyAlignment="1">
      <alignment horizontal="right"/>
    </xf>
    <xf numFmtId="174" fontId="0" fillId="9" borderId="17" xfId="0" applyNumberFormat="1" applyFill="1" applyBorder="1"/>
    <xf numFmtId="174" fontId="0" fillId="0" borderId="17" xfId="0" applyNumberFormat="1" applyBorder="1"/>
    <xf numFmtId="9" fontId="0" fillId="9" borderId="17" xfId="3" applyFont="1" applyFill="1" applyBorder="1"/>
    <xf numFmtId="174" fontId="0" fillId="9" borderId="17" xfId="4" applyNumberFormat="1" applyFont="1" applyFill="1" applyBorder="1"/>
    <xf numFmtId="174" fontId="0" fillId="9" borderId="40" xfId="4" applyNumberFormat="1" applyFont="1" applyFill="1" applyBorder="1"/>
    <xf numFmtId="0" fontId="0" fillId="0" borderId="12" xfId="0" applyBorder="1"/>
    <xf numFmtId="174" fontId="0" fillId="9" borderId="56" xfId="0" applyNumberFormat="1" applyFill="1" applyBorder="1" applyAlignment="1">
      <alignment horizontal="center"/>
    </xf>
    <xf numFmtId="174" fontId="0" fillId="0" borderId="56" xfId="0" applyNumberFormat="1" applyBorder="1" applyAlignment="1">
      <alignment horizontal="center"/>
    </xf>
    <xf numFmtId="9" fontId="0" fillId="9" borderId="56" xfId="3" applyFont="1" applyFill="1" applyBorder="1" applyAlignment="1">
      <alignment horizontal="center"/>
    </xf>
    <xf numFmtId="174" fontId="0" fillId="9" borderId="56" xfId="4" applyNumberFormat="1" applyFont="1" applyFill="1" applyBorder="1" applyAlignment="1">
      <alignment horizontal="center"/>
    </xf>
    <xf numFmtId="174" fontId="0" fillId="9" borderId="16" xfId="4" applyNumberFormat="1" applyFont="1" applyFill="1" applyBorder="1" applyAlignment="1">
      <alignment horizontal="center"/>
    </xf>
    <xf numFmtId="0" fontId="13" fillId="13" borderId="45" xfId="0" applyFont="1" applyFill="1" applyBorder="1" applyAlignment="1">
      <alignment horizontal="center"/>
    </xf>
    <xf numFmtId="0" fontId="11" fillId="8" borderId="61" xfId="0" applyFont="1" applyFill="1" applyBorder="1"/>
    <xf numFmtId="0" fontId="11" fillId="8" borderId="37" xfId="0" applyFont="1" applyFill="1" applyBorder="1"/>
    <xf numFmtId="165" fontId="2" fillId="13" borderId="20" xfId="0" applyNumberFormat="1" applyFont="1" applyFill="1" applyBorder="1" applyAlignment="1">
      <alignment horizontal="center"/>
    </xf>
    <xf numFmtId="165" fontId="4" fillId="0" borderId="43" xfId="0" applyNumberFormat="1" applyFont="1" applyBorder="1" applyAlignment="1">
      <alignment horizontal="right"/>
    </xf>
    <xf numFmtId="44" fontId="0" fillId="0" borderId="23" xfId="4" applyFont="1" applyFill="1" applyBorder="1"/>
    <xf numFmtId="44" fontId="0" fillId="0" borderId="43" xfId="4" applyFont="1" applyFill="1" applyBorder="1"/>
    <xf numFmtId="0" fontId="2" fillId="5" borderId="23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13" borderId="56" xfId="0" applyFill="1" applyBorder="1"/>
    <xf numFmtId="165" fontId="2" fillId="13" borderId="47" xfId="0" applyNumberFormat="1" applyFont="1" applyFill="1" applyBorder="1"/>
    <xf numFmtId="0" fontId="2" fillId="13" borderId="12" xfId="0" applyFont="1" applyFill="1" applyBorder="1" applyAlignment="1">
      <alignment horizontal="center"/>
    </xf>
    <xf numFmtId="165" fontId="0" fillId="8" borderId="68" xfId="0" applyNumberFormat="1" applyFill="1" applyBorder="1"/>
    <xf numFmtId="165" fontId="2" fillId="13" borderId="69" xfId="0" applyNumberFormat="1" applyFont="1" applyFill="1" applyBorder="1"/>
    <xf numFmtId="9" fontId="0" fillId="0" borderId="0" xfId="3" applyFont="1" applyBorder="1"/>
    <xf numFmtId="9" fontId="0" fillId="0" borderId="17" xfId="3" applyFont="1" applyBorder="1"/>
    <xf numFmtId="44" fontId="0" fillId="0" borderId="31" xfId="4" applyFont="1" applyBorder="1"/>
    <xf numFmtId="9" fontId="0" fillId="0" borderId="40" xfId="3" applyFont="1" applyBorder="1"/>
    <xf numFmtId="9" fontId="0" fillId="0" borderId="34" xfId="3" applyFont="1" applyBorder="1"/>
    <xf numFmtId="44" fontId="0" fillId="0" borderId="35" xfId="4" applyFont="1" applyBorder="1"/>
    <xf numFmtId="44" fontId="2" fillId="9" borderId="35" xfId="4" applyFont="1" applyFill="1" applyBorder="1"/>
    <xf numFmtId="9" fontId="2" fillId="9" borderId="15" xfId="3" applyFont="1" applyFill="1" applyBorder="1"/>
    <xf numFmtId="9" fontId="2" fillId="9" borderId="65" xfId="3" applyFont="1" applyFill="1" applyBorder="1"/>
    <xf numFmtId="0" fontId="0" fillId="9" borderId="64" xfId="0" applyFill="1" applyBorder="1"/>
    <xf numFmtId="0" fontId="0" fillId="9" borderId="45" xfId="0" applyFill="1" applyBorder="1"/>
    <xf numFmtId="0" fontId="0" fillId="9" borderId="36" xfId="0" applyFill="1" applyBorder="1"/>
    <xf numFmtId="0" fontId="2" fillId="9" borderId="50" xfId="0" applyFont="1" applyFill="1" applyBorder="1"/>
    <xf numFmtId="44" fontId="16" fillId="14" borderId="64" xfId="4" applyFont="1" applyFill="1" applyBorder="1"/>
    <xf numFmtId="165" fontId="2" fillId="15" borderId="65" xfId="0" applyNumberFormat="1" applyFont="1" applyFill="1" applyBorder="1" applyAlignment="1">
      <alignment horizontal="center"/>
    </xf>
    <xf numFmtId="0" fontId="2" fillId="15" borderId="15" xfId="0" applyFont="1" applyFill="1" applyBorder="1" applyAlignment="1">
      <alignment horizontal="center"/>
    </xf>
    <xf numFmtId="0" fontId="2" fillId="15" borderId="35" xfId="0" applyFont="1" applyFill="1" applyBorder="1" applyAlignment="1">
      <alignment horizontal="center"/>
    </xf>
    <xf numFmtId="0" fontId="0" fillId="15" borderId="20" xfId="0" applyFill="1" applyBorder="1"/>
    <xf numFmtId="0" fontId="0" fillId="15" borderId="19" xfId="0" applyFill="1" applyBorder="1"/>
    <xf numFmtId="0" fontId="0" fillId="15" borderId="51" xfId="0" applyFill="1" applyBorder="1"/>
    <xf numFmtId="165" fontId="2" fillId="15" borderId="33" xfId="0" applyNumberFormat="1" applyFont="1" applyFill="1" applyBorder="1"/>
    <xf numFmtId="165" fontId="2" fillId="15" borderId="26" xfId="0" applyNumberFormat="1" applyFont="1" applyFill="1" applyBorder="1"/>
    <xf numFmtId="165" fontId="2" fillId="15" borderId="50" xfId="0" applyNumberFormat="1" applyFont="1" applyFill="1" applyBorder="1"/>
    <xf numFmtId="0" fontId="2" fillId="9" borderId="33" xfId="0" applyFont="1" applyFill="1" applyBorder="1" applyAlignment="1">
      <alignment wrapText="1"/>
    </xf>
    <xf numFmtId="0" fontId="2" fillId="9" borderId="26" xfId="0" applyFont="1" applyFill="1" applyBorder="1" applyAlignment="1" applyProtection="1">
      <alignment wrapText="1"/>
      <protection locked="0"/>
    </xf>
    <xf numFmtId="0" fontId="2" fillId="12" borderId="53" xfId="0" applyFont="1" applyFill="1" applyBorder="1"/>
    <xf numFmtId="0" fontId="0" fillId="12" borderId="28" xfId="0" applyFill="1" applyBorder="1"/>
    <xf numFmtId="0" fontId="0" fillId="8" borderId="64" xfId="0" applyFill="1" applyBorder="1"/>
    <xf numFmtId="0" fontId="0" fillId="12" borderId="33" xfId="0" applyFill="1" applyBorder="1"/>
    <xf numFmtId="0" fontId="0" fillId="12" borderId="47" xfId="0" applyFill="1" applyBorder="1" applyAlignment="1">
      <alignment horizontal="center"/>
    </xf>
    <xf numFmtId="0" fontId="0" fillId="8" borderId="46" xfId="0" applyFill="1" applyBorder="1" applyAlignment="1">
      <alignment horizontal="left"/>
    </xf>
    <xf numFmtId="165" fontId="13" fillId="12" borderId="21" xfId="0" applyNumberFormat="1" applyFont="1" applyFill="1" applyBorder="1" applyAlignment="1">
      <alignment horizontal="center"/>
    </xf>
    <xf numFmtId="44" fontId="0" fillId="8" borderId="6" xfId="4" applyFont="1" applyFill="1" applyBorder="1"/>
    <xf numFmtId="44" fontId="0" fillId="8" borderId="3" xfId="4" applyFont="1" applyFill="1" applyBorder="1"/>
    <xf numFmtId="0" fontId="0" fillId="12" borderId="50" xfId="0" applyFill="1" applyBorder="1"/>
    <xf numFmtId="0" fontId="0" fillId="8" borderId="36" xfId="0" applyFill="1" applyBorder="1"/>
    <xf numFmtId="0" fontId="0" fillId="8" borderId="55" xfId="0" applyFill="1" applyBorder="1" applyAlignment="1">
      <alignment horizontal="left"/>
    </xf>
    <xf numFmtId="0" fontId="0" fillId="8" borderId="33" xfId="0" applyFill="1" applyBorder="1"/>
    <xf numFmtId="0" fontId="0" fillId="8" borderId="26" xfId="0" applyFill="1" applyBorder="1"/>
    <xf numFmtId="44" fontId="0" fillId="8" borderId="47" xfId="4" applyFont="1" applyFill="1" applyBorder="1"/>
    <xf numFmtId="0" fontId="0" fillId="8" borderId="50" xfId="0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4" fontId="0" fillId="0" borderId="0" xfId="0" applyNumberFormat="1"/>
    <xf numFmtId="0" fontId="2" fillId="0" borderId="1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8" borderId="53" xfId="0" applyFill="1" applyBorder="1" applyAlignment="1">
      <alignment horizontal="left"/>
    </xf>
    <xf numFmtId="0" fontId="0" fillId="8" borderId="32" xfId="0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6" fillId="11" borderId="34" xfId="0" applyFont="1" applyFill="1" applyBorder="1"/>
    <xf numFmtId="165" fontId="0" fillId="8" borderId="44" xfId="0" applyNumberFormat="1" applyFill="1" applyBorder="1"/>
    <xf numFmtId="0" fontId="2" fillId="5" borderId="42" xfId="0" applyFont="1" applyFill="1" applyBorder="1" applyAlignment="1">
      <alignment horizontal="center"/>
    </xf>
    <xf numFmtId="0" fontId="1" fillId="8" borderId="45" xfId="1" applyNumberFormat="1" applyFont="1" applyFill="1" applyBorder="1" applyAlignment="1">
      <alignment horizontal="center"/>
    </xf>
    <xf numFmtId="165" fontId="4" fillId="0" borderId="71" xfId="0" applyNumberFormat="1" applyFont="1" applyBorder="1" applyAlignment="1">
      <alignment horizontal="right"/>
    </xf>
    <xf numFmtId="0" fontId="2" fillId="3" borderId="9" xfId="0" applyFont="1" applyFill="1" applyBorder="1"/>
    <xf numFmtId="165" fontId="2" fillId="3" borderId="10" xfId="0" applyNumberFormat="1" applyFont="1" applyFill="1" applyBorder="1"/>
    <xf numFmtId="165" fontId="2" fillId="3" borderId="11" xfId="0" applyNumberFormat="1" applyFont="1" applyFill="1" applyBorder="1"/>
    <xf numFmtId="14" fontId="0" fillId="0" borderId="0" xfId="0" applyNumberFormat="1"/>
    <xf numFmtId="2" fontId="0" fillId="0" borderId="0" xfId="0" applyNumberFormat="1"/>
    <xf numFmtId="0" fontId="18" fillId="0" borderId="0" xfId="0" applyFont="1"/>
    <xf numFmtId="0" fontId="0" fillId="8" borderId="41" xfId="0" applyFill="1" applyBorder="1" applyAlignment="1">
      <alignment horizontal="left"/>
    </xf>
    <xf numFmtId="0" fontId="0" fillId="8" borderId="28" xfId="0" applyFill="1" applyBorder="1"/>
    <xf numFmtId="174" fontId="0" fillId="8" borderId="42" xfId="4" applyNumberFormat="1" applyFont="1" applyFill="1" applyBorder="1"/>
    <xf numFmtId="174" fontId="0" fillId="8" borderId="44" xfId="4" applyNumberFormat="1" applyFont="1" applyFill="1" applyBorder="1"/>
    <xf numFmtId="0" fontId="0" fillId="8" borderId="43" xfId="0" applyFill="1" applyBorder="1" applyAlignment="1">
      <alignment wrapText="1"/>
    </xf>
    <xf numFmtId="0" fontId="0" fillId="0" borderId="0" xfId="0" applyAlignment="1">
      <alignment horizontal="left" vertical="top"/>
    </xf>
    <xf numFmtId="0" fontId="19" fillId="0" borderId="0" xfId="0" applyFont="1"/>
    <xf numFmtId="7" fontId="8" fillId="8" borderId="43" xfId="4" applyNumberFormat="1" applyFont="1" applyFill="1" applyBorder="1" applyAlignment="1" applyProtection="1">
      <alignment horizontal="center"/>
      <protection locked="0"/>
    </xf>
    <xf numFmtId="174" fontId="0" fillId="0" borderId="0" xfId="4" applyNumberFormat="1" applyFont="1"/>
    <xf numFmtId="0" fontId="0" fillId="0" borderId="0" xfId="4" applyNumberFormat="1" applyFont="1"/>
    <xf numFmtId="0" fontId="2" fillId="3" borderId="17" xfId="0" applyFont="1" applyFill="1" applyBorder="1"/>
    <xf numFmtId="0" fontId="13" fillId="3" borderId="6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left"/>
    </xf>
    <xf numFmtId="0" fontId="2" fillId="13" borderId="20" xfId="0" applyFont="1" applyFill="1" applyBorder="1" applyAlignment="1">
      <alignment horizontal="left"/>
    </xf>
    <xf numFmtId="7" fontId="2" fillId="13" borderId="19" xfId="0" applyNumberFormat="1" applyFont="1" applyFill="1" applyBorder="1" applyAlignment="1">
      <alignment horizontal="center"/>
    </xf>
    <xf numFmtId="165" fontId="6" fillId="11" borderId="14" xfId="0" applyNumberFormat="1" applyFont="1" applyFill="1" applyBorder="1" applyAlignment="1">
      <alignment horizontal="center"/>
    </xf>
    <xf numFmtId="0" fontId="14" fillId="11" borderId="58" xfId="0" applyFont="1" applyFill="1" applyBorder="1" applyAlignment="1">
      <alignment horizontal="left"/>
    </xf>
    <xf numFmtId="0" fontId="8" fillId="0" borderId="0" xfId="5" applyAlignment="1">
      <alignment horizontal="center"/>
    </xf>
    <xf numFmtId="173" fontId="8" fillId="0" borderId="0" xfId="5" applyNumberFormat="1" applyAlignment="1">
      <alignment horizontal="center"/>
    </xf>
    <xf numFmtId="0" fontId="0" fillId="15" borderId="52" xfId="0" applyFill="1" applyBorder="1"/>
    <xf numFmtId="0" fontId="2" fillId="13" borderId="70" xfId="0" applyFont="1" applyFill="1" applyBorder="1" applyAlignment="1">
      <alignment horizontal="center"/>
    </xf>
    <xf numFmtId="165" fontId="2" fillId="15" borderId="47" xfId="0" applyNumberFormat="1" applyFont="1" applyFill="1" applyBorder="1"/>
    <xf numFmtId="0" fontId="2" fillId="13" borderId="69" xfId="0" applyFont="1" applyFill="1" applyBorder="1" applyAlignment="1">
      <alignment horizontal="center"/>
    </xf>
    <xf numFmtId="7" fontId="8" fillId="8" borderId="44" xfId="4" applyNumberFormat="1" applyFont="1" applyFill="1" applyBorder="1" applyAlignment="1" applyProtection="1">
      <alignment horizontal="center"/>
      <protection locked="0"/>
    </xf>
    <xf numFmtId="0" fontId="8" fillId="0" borderId="38" xfId="5" applyBorder="1"/>
    <xf numFmtId="0" fontId="13" fillId="13" borderId="23" xfId="0" applyFont="1" applyFill="1" applyBorder="1" applyAlignment="1">
      <alignment horizontal="center"/>
    </xf>
    <xf numFmtId="0" fontId="0" fillId="13" borderId="19" xfId="0" applyFill="1" applyBorder="1"/>
    <xf numFmtId="0" fontId="0" fillId="13" borderId="12" xfId="0" applyFill="1" applyBorder="1"/>
    <xf numFmtId="0" fontId="0" fillId="9" borderId="28" xfId="0" applyFill="1" applyBorder="1"/>
    <xf numFmtId="0" fontId="0" fillId="9" borderId="23" xfId="0" applyFill="1" applyBorder="1"/>
    <xf numFmtId="0" fontId="0" fillId="9" borderId="42" xfId="0" applyFill="1" applyBorder="1"/>
    <xf numFmtId="0" fontId="2" fillId="9" borderId="58" xfId="0" applyFont="1" applyFill="1" applyBorder="1" applyAlignment="1">
      <alignment wrapText="1"/>
    </xf>
    <xf numFmtId="0" fontId="2" fillId="9" borderId="59" xfId="0" applyFont="1" applyFill="1" applyBorder="1" applyAlignment="1" applyProtection="1">
      <alignment wrapText="1"/>
      <protection locked="0"/>
    </xf>
    <xf numFmtId="0" fontId="2" fillId="9" borderId="21" xfId="0" applyFont="1" applyFill="1" applyBorder="1"/>
    <xf numFmtId="0" fontId="0" fillId="8" borderId="38" xfId="0" applyFill="1" applyBorder="1" applyAlignment="1">
      <alignment horizontal="left"/>
    </xf>
    <xf numFmtId="3" fontId="0" fillId="8" borderId="30" xfId="0" applyNumberFormat="1" applyFill="1" applyBorder="1"/>
    <xf numFmtId="3" fontId="0" fillId="8" borderId="2" xfId="0" applyNumberFormat="1" applyFill="1" applyBorder="1"/>
    <xf numFmtId="165" fontId="0" fillId="8" borderId="2" xfId="0" applyNumberFormat="1" applyFill="1" applyBorder="1"/>
    <xf numFmtId="165" fontId="0" fillId="8" borderId="72" xfId="0" applyNumberFormat="1" applyFill="1" applyBorder="1"/>
    <xf numFmtId="0" fontId="2" fillId="5" borderId="58" xfId="0" applyFont="1" applyFill="1" applyBorder="1" applyAlignment="1">
      <alignment horizontal="center"/>
    </xf>
    <xf numFmtId="3" fontId="2" fillId="5" borderId="59" xfId="0" applyNumberFormat="1" applyFont="1" applyFill="1" applyBorder="1"/>
    <xf numFmtId="44" fontId="2" fillId="5" borderId="59" xfId="4" applyFont="1" applyFill="1" applyBorder="1"/>
    <xf numFmtId="44" fontId="2" fillId="5" borderId="21" xfId="4" applyFont="1" applyFill="1" applyBorder="1"/>
    <xf numFmtId="2" fontId="0" fillId="8" borderId="9" xfId="0" applyNumberFormat="1" applyFill="1" applyBorder="1" applyAlignment="1">
      <alignment horizontal="center"/>
    </xf>
    <xf numFmtId="44" fontId="16" fillId="14" borderId="66" xfId="4" applyFont="1" applyFill="1" applyBorder="1"/>
    <xf numFmtId="0" fontId="2" fillId="17" borderId="0" xfId="0" applyFont="1" applyFill="1" applyAlignment="1">
      <alignment horizontal="center"/>
    </xf>
    <xf numFmtId="0" fontId="3" fillId="17" borderId="0" xfId="2" applyFill="1" applyBorder="1"/>
    <xf numFmtId="0" fontId="0" fillId="17" borderId="0" xfId="0" applyFill="1"/>
    <xf numFmtId="0" fontId="0" fillId="17" borderId="0" xfId="0" applyFill="1" applyAlignment="1">
      <alignment horizontal="left"/>
    </xf>
    <xf numFmtId="0" fontId="2" fillId="17" borderId="0" xfId="0" applyFont="1" applyFill="1" applyAlignment="1">
      <alignment horizontal="left"/>
    </xf>
    <xf numFmtId="0" fontId="2" fillId="17" borderId="0" xfId="0" applyFont="1" applyFill="1" applyAlignment="1">
      <alignment horizontal="center" vertical="center"/>
    </xf>
    <xf numFmtId="165" fontId="2" fillId="17" borderId="0" xfId="0" applyNumberFormat="1" applyFont="1" applyFill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44" fontId="2" fillId="0" borderId="0" xfId="4" applyFont="1" applyFill="1" applyBorder="1"/>
    <xf numFmtId="165" fontId="0" fillId="8" borderId="68" xfId="0" applyNumberFormat="1" applyFill="1" applyBorder="1" applyAlignment="1">
      <alignment horizontal="center"/>
    </xf>
    <xf numFmtId="2" fontId="0" fillId="0" borderId="0" xfId="4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1" fillId="0" borderId="0" xfId="0" applyFont="1"/>
    <xf numFmtId="0" fontId="2" fillId="0" borderId="5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40" xfId="0" applyBorder="1"/>
    <xf numFmtId="0" fontId="0" fillId="0" borderId="34" xfId="0" applyBorder="1"/>
    <xf numFmtId="0" fontId="0" fillId="0" borderId="35" xfId="0" applyBorder="1"/>
    <xf numFmtId="0" fontId="2" fillId="0" borderId="48" xfId="0" applyFont="1" applyBorder="1"/>
    <xf numFmtId="2" fontId="0" fillId="0" borderId="71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2" fillId="0" borderId="73" xfId="0" applyNumberFormat="1" applyFont="1" applyBorder="1" applyAlignment="1">
      <alignment horizontal="center"/>
    </xf>
    <xf numFmtId="2" fontId="2" fillId="0" borderId="74" xfId="0" applyNumberFormat="1" applyFont="1" applyBorder="1" applyAlignment="1">
      <alignment horizontal="center"/>
    </xf>
    <xf numFmtId="0" fontId="0" fillId="0" borderId="17" xfId="0" applyBorder="1"/>
    <xf numFmtId="0" fontId="0" fillId="0" borderId="31" xfId="0" applyBorder="1"/>
    <xf numFmtId="44" fontId="8" fillId="8" borderId="43" xfId="4" applyFont="1" applyFill="1" applyBorder="1" applyAlignment="1" applyProtection="1">
      <alignment horizontal="left"/>
      <protection locked="0"/>
    </xf>
    <xf numFmtId="44" fontId="8" fillId="8" borderId="44" xfId="4" applyFont="1" applyFill="1" applyBorder="1" applyAlignment="1" applyProtection="1">
      <alignment horizontal="left"/>
      <protection locked="0"/>
    </xf>
    <xf numFmtId="0" fontId="0" fillId="0" borderId="80" xfId="0" applyBorder="1"/>
    <xf numFmtId="0" fontId="0" fillId="0" borderId="80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 vertical="center"/>
    </xf>
    <xf numFmtId="0" fontId="2" fillId="0" borderId="0" xfId="0" applyFont="1"/>
    <xf numFmtId="44" fontId="0" fillId="8" borderId="49" xfId="4" applyFont="1" applyFill="1" applyBorder="1"/>
    <xf numFmtId="44" fontId="0" fillId="8" borderId="41" xfId="0" applyNumberFormat="1" applyFill="1" applyBorder="1"/>
    <xf numFmtId="44" fontId="0" fillId="8" borderId="49" xfId="0" applyNumberFormat="1" applyFill="1" applyBorder="1"/>
    <xf numFmtId="44" fontId="0" fillId="8" borderId="68" xfId="0" applyNumberFormat="1" applyFill="1" applyBorder="1"/>
    <xf numFmtId="44" fontId="0" fillId="8" borderId="46" xfId="0" applyNumberFormat="1" applyFill="1" applyBorder="1"/>
    <xf numFmtId="44" fontId="0" fillId="8" borderId="3" xfId="0" applyNumberFormat="1" applyFill="1" applyBorder="1"/>
    <xf numFmtId="44" fontId="0" fillId="8" borderId="33" xfId="0" applyNumberFormat="1" applyFill="1" applyBorder="1"/>
    <xf numFmtId="44" fontId="0" fillId="8" borderId="47" xfId="0" applyNumberFormat="1" applyFill="1" applyBorder="1"/>
    <xf numFmtId="44" fontId="0" fillId="0" borderId="26" xfId="4" applyFont="1" applyFill="1" applyBorder="1"/>
    <xf numFmtId="44" fontId="0" fillId="8" borderId="16" xfId="0" applyNumberFormat="1" applyFill="1" applyBorder="1"/>
    <xf numFmtId="44" fontId="16" fillId="14" borderId="65" xfId="4" applyFont="1" applyFill="1" applyBorder="1"/>
    <xf numFmtId="44" fontId="16" fillId="14" borderId="26" xfId="4" applyFont="1" applyFill="1" applyBorder="1"/>
    <xf numFmtId="44" fontId="0" fillId="8" borderId="41" xfId="4" applyFont="1" applyFill="1" applyBorder="1" applyProtection="1"/>
    <xf numFmtId="44" fontId="0" fillId="8" borderId="23" xfId="4" applyFont="1" applyFill="1" applyBorder="1" applyProtection="1"/>
    <xf numFmtId="44" fontId="0" fillId="8" borderId="42" xfId="4" applyFont="1" applyFill="1" applyBorder="1" applyProtection="1"/>
    <xf numFmtId="44" fontId="0" fillId="8" borderId="68" xfId="4" applyFont="1" applyFill="1" applyBorder="1" applyProtection="1"/>
    <xf numFmtId="44" fontId="0" fillId="0" borderId="45" xfId="4" applyFont="1" applyBorder="1"/>
    <xf numFmtId="44" fontId="0" fillId="0" borderId="6" xfId="4" applyFont="1" applyBorder="1"/>
    <xf numFmtId="44" fontId="2" fillId="0" borderId="70" xfId="4" applyFont="1" applyBorder="1" applyAlignment="1"/>
    <xf numFmtId="44" fontId="2" fillId="0" borderId="68" xfId="4" applyFont="1" applyBorder="1" applyAlignment="1"/>
    <xf numFmtId="44" fontId="2" fillId="0" borderId="56" xfId="4" applyFont="1" applyBorder="1" applyAlignment="1"/>
    <xf numFmtId="0" fontId="0" fillId="8" borderId="33" xfId="0" applyFill="1" applyBorder="1" applyAlignment="1">
      <alignment horizontal="left"/>
    </xf>
    <xf numFmtId="0" fontId="30" fillId="0" borderId="0" xfId="0" applyFont="1"/>
    <xf numFmtId="44" fontId="0" fillId="8" borderId="46" xfId="4" applyFont="1" applyFill="1" applyBorder="1" applyProtection="1"/>
    <xf numFmtId="44" fontId="0" fillId="8" borderId="43" xfId="4" applyFont="1" applyFill="1" applyBorder="1" applyProtection="1"/>
    <xf numFmtId="44" fontId="0" fillId="8" borderId="44" xfId="4" applyFont="1" applyFill="1" applyBorder="1" applyProtection="1"/>
    <xf numFmtId="44" fontId="0" fillId="8" borderId="33" xfId="4" applyFont="1" applyFill="1" applyBorder="1" applyProtection="1"/>
    <xf numFmtId="44" fontId="0" fillId="8" borderId="26" xfId="4" applyFont="1" applyFill="1" applyBorder="1" applyProtection="1"/>
    <xf numFmtId="44" fontId="0" fillId="8" borderId="50" xfId="4" applyFont="1" applyFill="1" applyBorder="1" applyProtection="1"/>
    <xf numFmtId="9" fontId="0" fillId="0" borderId="8" xfId="3" applyFont="1" applyBorder="1"/>
    <xf numFmtId="9" fontId="0" fillId="0" borderId="86" xfId="3" applyFont="1" applyBorder="1"/>
    <xf numFmtId="9" fontId="0" fillId="0" borderId="87" xfId="3" applyFont="1" applyBorder="1"/>
    <xf numFmtId="9" fontId="0" fillId="0" borderId="7" xfId="3" applyFont="1" applyBorder="1"/>
    <xf numFmtId="174" fontId="0" fillId="0" borderId="0" xfId="3" applyNumberFormat="1" applyFont="1" applyBorder="1"/>
    <xf numFmtId="174" fontId="0" fillId="0" borderId="75" xfId="3" applyNumberFormat="1" applyFont="1" applyBorder="1"/>
    <xf numFmtId="9" fontId="0" fillId="0" borderId="7" xfId="0" applyNumberFormat="1" applyBorder="1"/>
    <xf numFmtId="174" fontId="0" fillId="0" borderId="0" xfId="0" applyNumberFormat="1"/>
    <xf numFmtId="174" fontId="0" fillId="0" borderId="75" xfId="0" applyNumberFormat="1" applyBorder="1"/>
    <xf numFmtId="9" fontId="0" fillId="0" borderId="75" xfId="0" applyNumberFormat="1" applyBorder="1"/>
    <xf numFmtId="9" fontId="0" fillId="0" borderId="6" xfId="0" applyNumberFormat="1" applyBorder="1"/>
    <xf numFmtId="0" fontId="0" fillId="0" borderId="81" xfId="0" applyBorder="1"/>
    <xf numFmtId="44" fontId="0" fillId="0" borderId="64" xfId="0" applyNumberFormat="1" applyBorder="1"/>
    <xf numFmtId="9" fontId="0" fillId="0" borderId="8" xfId="0" applyNumberFormat="1" applyBorder="1"/>
    <xf numFmtId="0" fontId="0" fillId="0" borderId="86" xfId="0" applyBorder="1"/>
    <xf numFmtId="0" fontId="0" fillId="0" borderId="87" xfId="0" applyBorder="1"/>
    <xf numFmtId="0" fontId="0" fillId="0" borderId="75" xfId="0" applyBorder="1"/>
    <xf numFmtId="0" fontId="0" fillId="0" borderId="64" xfId="0" applyBorder="1"/>
    <xf numFmtId="0" fontId="8" fillId="0" borderId="43" xfId="5" applyBorder="1" applyAlignment="1">
      <alignment horizontal="left"/>
    </xf>
    <xf numFmtId="165" fontId="0" fillId="18" borderId="68" xfId="0" applyNumberFormat="1" applyFill="1" applyBorder="1" applyAlignment="1">
      <alignment horizontal="center"/>
    </xf>
    <xf numFmtId="0" fontId="31" fillId="8" borderId="61" xfId="0" applyFont="1" applyFill="1" applyBorder="1"/>
    <xf numFmtId="0" fontId="32" fillId="8" borderId="61" xfId="0" applyFont="1" applyFill="1" applyBorder="1"/>
    <xf numFmtId="0" fontId="33" fillId="8" borderId="61" xfId="0" applyFont="1" applyFill="1" applyBorder="1"/>
    <xf numFmtId="165" fontId="0" fillId="19" borderId="68" xfId="0" applyNumberFormat="1" applyFill="1" applyBorder="1" applyAlignment="1">
      <alignment horizontal="center"/>
    </xf>
    <xf numFmtId="0" fontId="2" fillId="0" borderId="78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5" xfId="0" applyBorder="1" applyAlignment="1">
      <alignment horizontal="center"/>
    </xf>
    <xf numFmtId="14" fontId="20" fillId="0" borderId="0" xfId="0" applyNumberFormat="1" applyFont="1" applyAlignment="1">
      <alignment horizontal="center" textRotation="90" wrapText="1"/>
    </xf>
    <xf numFmtId="14" fontId="20" fillId="0" borderId="34" xfId="0" applyNumberFormat="1" applyFont="1" applyBorder="1" applyAlignment="1">
      <alignment horizontal="center" textRotation="90" wrapText="1"/>
    </xf>
    <xf numFmtId="0" fontId="8" fillId="0" borderId="3" xfId="5" applyBorder="1" applyAlignment="1" applyProtection="1">
      <alignment horizontal="left"/>
      <protection locked="0"/>
    </xf>
    <xf numFmtId="0" fontId="8" fillId="0" borderId="5" xfId="5" applyBorder="1" applyAlignment="1" applyProtection="1">
      <alignment horizontal="left"/>
      <protection locked="0"/>
    </xf>
    <xf numFmtId="0" fontId="8" fillId="7" borderId="26" xfId="5" applyFill="1" applyBorder="1" applyAlignment="1" applyProtection="1">
      <alignment horizontal="left"/>
      <protection locked="0"/>
    </xf>
    <xf numFmtId="0" fontId="8" fillId="7" borderId="50" xfId="5" applyFill="1" applyBorder="1" applyAlignment="1" applyProtection="1">
      <alignment horizontal="left"/>
      <protection locked="0"/>
    </xf>
    <xf numFmtId="0" fontId="8" fillId="8" borderId="3" xfId="5" applyFill="1" applyBorder="1" applyAlignment="1" applyProtection="1">
      <alignment horizontal="left"/>
      <protection locked="0"/>
    </xf>
    <xf numFmtId="0" fontId="8" fillId="8" borderId="4" xfId="5" applyFill="1" applyBorder="1" applyAlignment="1" applyProtection="1">
      <alignment horizontal="left"/>
      <protection locked="0"/>
    </xf>
    <xf numFmtId="0" fontId="8" fillId="8" borderId="79" xfId="5" applyFill="1" applyBorder="1" applyAlignment="1" applyProtection="1">
      <alignment horizontal="left"/>
      <protection locked="0"/>
    </xf>
    <xf numFmtId="0" fontId="8" fillId="7" borderId="45" xfId="5" applyFill="1" applyBorder="1" applyAlignment="1" applyProtection="1">
      <alignment horizontal="center"/>
      <protection locked="0"/>
    </xf>
    <xf numFmtId="0" fontId="8" fillId="7" borderId="36" xfId="5" applyFill="1" applyBorder="1" applyAlignment="1" applyProtection="1">
      <alignment horizontal="center"/>
      <protection locked="0"/>
    </xf>
    <xf numFmtId="0" fontId="8" fillId="0" borderId="45" xfId="5" applyBorder="1" applyAlignment="1" applyProtection="1">
      <alignment horizontal="left"/>
      <protection locked="0"/>
    </xf>
    <xf numFmtId="0" fontId="8" fillId="8" borderId="3" xfId="5" applyFill="1" applyBorder="1" applyAlignment="1" applyProtection="1">
      <alignment horizontal="left" wrapText="1"/>
      <protection locked="0"/>
    </xf>
    <xf numFmtId="172" fontId="8" fillId="8" borderId="43" xfId="5" applyNumberFormat="1" applyFill="1" applyBorder="1" applyAlignment="1" applyProtection="1">
      <alignment horizontal="center"/>
      <protection locked="0"/>
    </xf>
    <xf numFmtId="172" fontId="8" fillId="8" borderId="44" xfId="5" applyNumberFormat="1" applyFill="1" applyBorder="1" applyAlignment="1" applyProtection="1">
      <alignment horizontal="center"/>
      <protection locked="0"/>
    </xf>
    <xf numFmtId="0" fontId="0" fillId="8" borderId="7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31" xfId="0" applyFill="1" applyBorder="1" applyAlignment="1">
      <alignment horizontal="left"/>
    </xf>
    <xf numFmtId="172" fontId="8" fillId="8" borderId="9" xfId="5" applyNumberFormat="1" applyFill="1" applyBorder="1" applyAlignment="1" applyProtection="1">
      <alignment horizontal="center"/>
      <protection locked="0"/>
    </xf>
    <xf numFmtId="172" fontId="8" fillId="8" borderId="10" xfId="5" applyNumberFormat="1" applyFill="1" applyBorder="1" applyAlignment="1" applyProtection="1">
      <alignment horizontal="center"/>
      <protection locked="0"/>
    </xf>
    <xf numFmtId="172" fontId="8" fillId="8" borderId="11" xfId="5" applyNumberFormat="1" applyFill="1" applyBorder="1" applyAlignment="1" applyProtection="1">
      <alignment horizontal="center"/>
      <protection locked="0"/>
    </xf>
    <xf numFmtId="0" fontId="0" fillId="0" borderId="0" xfId="0"/>
    <xf numFmtId="0" fontId="0" fillId="8" borderId="14" xfId="0" applyFill="1" applyBorder="1" applyAlignment="1">
      <alignment horizontal="left" wrapText="1"/>
    </xf>
    <xf numFmtId="0" fontId="0" fillId="8" borderId="34" xfId="0" applyFill="1" applyBorder="1" applyAlignment="1">
      <alignment horizontal="left" wrapText="1"/>
    </xf>
    <xf numFmtId="0" fontId="0" fillId="8" borderId="35" xfId="0" applyFill="1" applyBorder="1" applyAlignment="1">
      <alignment horizontal="left" wrapText="1"/>
    </xf>
    <xf numFmtId="14" fontId="8" fillId="8" borderId="47" xfId="5" applyNumberFormat="1" applyFill="1" applyBorder="1" applyAlignment="1" applyProtection="1">
      <alignment horizontal="center"/>
      <protection locked="0"/>
    </xf>
    <xf numFmtId="14" fontId="8" fillId="8" borderId="62" xfId="5" applyNumberFormat="1" applyFill="1" applyBorder="1" applyAlignment="1" applyProtection="1">
      <alignment horizontal="center"/>
      <protection locked="0"/>
    </xf>
    <xf numFmtId="14" fontId="8" fillId="8" borderId="67" xfId="5" applyNumberFormat="1" applyFill="1" applyBorder="1" applyAlignment="1" applyProtection="1">
      <alignment horizontal="center"/>
      <protection locked="0"/>
    </xf>
    <xf numFmtId="0" fontId="0" fillId="8" borderId="18" xfId="0" applyFill="1" applyBorder="1" applyAlignment="1">
      <alignment horizontal="left"/>
    </xf>
    <xf numFmtId="0" fontId="0" fillId="8" borderId="19" xfId="0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22" fillId="0" borderId="20" xfId="15" applyBorder="1" applyAlignment="1">
      <alignment horizontal="center"/>
    </xf>
    <xf numFmtId="0" fontId="22" fillId="0" borderId="19" xfId="15" applyBorder="1" applyAlignment="1">
      <alignment horizontal="center"/>
    </xf>
    <xf numFmtId="0" fontId="22" fillId="0" borderId="13" xfId="15" applyBorder="1" applyAlignment="1">
      <alignment horizontal="center"/>
    </xf>
    <xf numFmtId="0" fontId="8" fillId="8" borderId="23" xfId="5" applyFill="1" applyBorder="1" applyAlignment="1" applyProtection="1">
      <alignment horizontal="left"/>
      <protection locked="0"/>
    </xf>
    <xf numFmtId="0" fontId="8" fillId="8" borderId="42" xfId="5" applyFill="1" applyBorder="1" applyAlignment="1" applyProtection="1">
      <alignment horizontal="left"/>
      <protection locked="0"/>
    </xf>
    <xf numFmtId="44" fontId="8" fillId="8" borderId="43" xfId="4" applyFont="1" applyFill="1" applyBorder="1" applyAlignment="1" applyProtection="1">
      <alignment horizontal="left"/>
      <protection locked="0"/>
    </xf>
    <xf numFmtId="44" fontId="8" fillId="8" borderId="44" xfId="4" applyFont="1" applyFill="1" applyBorder="1" applyAlignment="1" applyProtection="1">
      <alignment horizontal="left"/>
      <protection locked="0"/>
    </xf>
    <xf numFmtId="0" fontId="0" fillId="0" borderId="19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0" xfId="0" applyAlignment="1">
      <alignment horizontal="center"/>
    </xf>
    <xf numFmtId="0" fontId="29" fillId="0" borderId="84" xfId="0" applyFont="1" applyBorder="1" applyAlignment="1">
      <alignment vertical="top" wrapText="1"/>
    </xf>
    <xf numFmtId="0" fontId="29" fillId="0" borderId="85" xfId="0" applyFont="1" applyBorder="1" applyAlignment="1">
      <alignment vertical="top" wrapText="1"/>
    </xf>
    <xf numFmtId="0" fontId="29" fillId="0" borderId="80" xfId="0" applyFont="1" applyBorder="1" applyAlignment="1">
      <alignment vertical="top" wrapText="1"/>
    </xf>
    <xf numFmtId="0" fontId="29" fillId="0" borderId="83" xfId="0" applyFont="1" applyBorder="1" applyAlignment="1">
      <alignment vertical="top" wrapText="1"/>
    </xf>
    <xf numFmtId="0" fontId="28" fillId="0" borderId="80" xfId="0" applyFont="1" applyBorder="1" applyAlignment="1">
      <alignment horizontal="left" vertical="top" wrapText="1"/>
    </xf>
    <xf numFmtId="0" fontId="28" fillId="0" borderId="82" xfId="0" applyFont="1" applyBorder="1" applyAlignment="1">
      <alignment horizontal="left" vertical="top" wrapText="1"/>
    </xf>
    <xf numFmtId="0" fontId="28" fillId="0" borderId="83" xfId="0" applyFont="1" applyBorder="1" applyAlignment="1">
      <alignment horizontal="left" vertical="top" wrapText="1"/>
    </xf>
    <xf numFmtId="0" fontId="2" fillId="10" borderId="0" xfId="0" applyFont="1" applyFill="1" applyAlignment="1">
      <alignment horizontal="left"/>
    </xf>
    <xf numFmtId="0" fontId="29" fillId="0" borderId="0" xfId="0" applyFont="1" applyAlignment="1">
      <alignment horizontal="left" vertical="top" wrapText="1"/>
    </xf>
    <xf numFmtId="0" fontId="27" fillId="0" borderId="0" xfId="0" applyFont="1" applyAlignment="1">
      <alignment horizontal="center" vertical="center"/>
    </xf>
    <xf numFmtId="0" fontId="28" fillId="10" borderId="0" xfId="0" applyFont="1" applyFill="1" applyAlignment="1">
      <alignment horizontal="left"/>
    </xf>
    <xf numFmtId="44" fontId="3" fillId="4" borderId="0" xfId="2" applyNumberFormat="1" applyAlignment="1">
      <alignment horizontal="left"/>
    </xf>
    <xf numFmtId="9" fontId="3" fillId="4" borderId="0" xfId="2" applyNumberFormat="1" applyAlignment="1">
      <alignment horizontal="left"/>
    </xf>
    <xf numFmtId="0" fontId="30" fillId="0" borderId="0" xfId="0" applyFont="1" applyAlignment="1">
      <alignment horizontal="left"/>
    </xf>
    <xf numFmtId="0" fontId="5" fillId="10" borderId="0" xfId="0" applyFont="1" applyFill="1" applyAlignment="1">
      <alignment horizontal="center" vertical="center"/>
    </xf>
    <xf numFmtId="0" fontId="23" fillId="10" borderId="81" xfId="0" applyFont="1" applyFill="1" applyBorder="1" applyAlignment="1">
      <alignment horizontal="center" vertical="center"/>
    </xf>
    <xf numFmtId="0" fontId="23" fillId="10" borderId="80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9" fontId="25" fillId="0" borderId="0" xfId="0" applyNumberFormat="1" applyFont="1" applyAlignment="1">
      <alignment horizontal="left"/>
    </xf>
    <xf numFmtId="9" fontId="26" fillId="0" borderId="0" xfId="0" applyNumberFormat="1" applyFont="1" applyAlignment="1">
      <alignment horizontal="left"/>
    </xf>
    <xf numFmtId="0" fontId="2" fillId="2" borderId="53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5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7" fillId="8" borderId="26" xfId="0" applyFont="1" applyFill="1" applyBorder="1" applyAlignment="1">
      <alignment horizontal="left"/>
    </xf>
    <xf numFmtId="0" fontId="7" fillId="8" borderId="50" xfId="0" applyFont="1" applyFill="1" applyBorder="1" applyAlignment="1">
      <alignment horizontal="left"/>
    </xf>
    <xf numFmtId="0" fontId="6" fillId="11" borderId="15" xfId="0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0" fillId="12" borderId="49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7" fillId="8" borderId="43" xfId="0" applyFont="1" applyFill="1" applyBorder="1" applyAlignment="1">
      <alignment horizontal="left"/>
    </xf>
    <xf numFmtId="0" fontId="7" fillId="8" borderId="44" xfId="0" applyFont="1" applyFill="1" applyBorder="1" applyAlignment="1">
      <alignment horizontal="left"/>
    </xf>
    <xf numFmtId="0" fontId="2" fillId="9" borderId="53" xfId="0" applyFont="1" applyFill="1" applyBorder="1" applyAlignment="1">
      <alignment horizontal="center"/>
    </xf>
    <xf numFmtId="0" fontId="2" fillId="9" borderId="52" xfId="0" applyFont="1" applyFill="1" applyBorder="1" applyAlignment="1">
      <alignment horizontal="center"/>
    </xf>
    <xf numFmtId="0" fontId="2" fillId="9" borderId="51" xfId="0" applyFont="1" applyFill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7" fillId="8" borderId="23" xfId="0" applyFont="1" applyFill="1" applyBorder="1" applyAlignment="1">
      <alignment horizontal="left"/>
    </xf>
    <xf numFmtId="0" fontId="7" fillId="8" borderId="42" xfId="0" applyFont="1" applyFill="1" applyBorder="1" applyAlignment="1">
      <alignment horizontal="left"/>
    </xf>
    <xf numFmtId="0" fontId="2" fillId="5" borderId="20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56" xfId="0" applyFont="1" applyFill="1" applyBorder="1" applyAlignment="1">
      <alignment horizontal="center" vertical="top"/>
    </xf>
    <xf numFmtId="0" fontId="2" fillId="5" borderId="16" xfId="0" applyFont="1" applyFill="1" applyBorder="1" applyAlignment="1">
      <alignment horizontal="center" vertical="top"/>
    </xf>
    <xf numFmtId="0" fontId="2" fillId="5" borderId="28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49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0" fillId="8" borderId="47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20" xfId="0" applyFill="1" applyBorder="1" applyAlignment="1">
      <alignment horizontal="left" vertical="top" wrapText="1"/>
    </xf>
    <xf numFmtId="0" fontId="0" fillId="8" borderId="19" xfId="0" applyFill="1" applyBorder="1" applyAlignment="1">
      <alignment horizontal="left" vertical="top"/>
    </xf>
    <xf numFmtId="0" fontId="0" fillId="8" borderId="13" xfId="0" applyFill="1" applyBorder="1" applyAlignment="1">
      <alignment horizontal="left" vertical="top"/>
    </xf>
    <xf numFmtId="0" fontId="0" fillId="8" borderId="17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31" xfId="0" applyFill="1" applyBorder="1" applyAlignment="1">
      <alignment horizontal="left" vertical="top"/>
    </xf>
    <xf numFmtId="0" fontId="0" fillId="8" borderId="40" xfId="0" applyFill="1" applyBorder="1" applyAlignment="1">
      <alignment horizontal="left" vertical="top"/>
    </xf>
    <xf numFmtId="0" fontId="0" fillId="8" borderId="34" xfId="0" applyFill="1" applyBorder="1" applyAlignment="1">
      <alignment horizontal="left" vertical="top"/>
    </xf>
    <xf numFmtId="0" fontId="0" fillId="8" borderId="35" xfId="0" applyFill="1" applyBorder="1" applyAlignment="1">
      <alignment horizontal="left" vertical="top"/>
    </xf>
    <xf numFmtId="0" fontId="0" fillId="12" borderId="47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64" xfId="0" applyFill="1" applyBorder="1" applyAlignment="1">
      <alignment horizontal="center"/>
    </xf>
    <xf numFmtId="0" fontId="18" fillId="16" borderId="20" xfId="0" applyFont="1" applyFill="1" applyBorder="1" applyAlignment="1">
      <alignment horizontal="left" vertical="top" wrapText="1"/>
    </xf>
    <xf numFmtId="0" fontId="18" fillId="16" borderId="19" xfId="0" applyFont="1" applyFill="1" applyBorder="1" applyAlignment="1">
      <alignment horizontal="left" vertical="top"/>
    </xf>
    <xf numFmtId="0" fontId="18" fillId="16" borderId="13" xfId="0" applyFont="1" applyFill="1" applyBorder="1" applyAlignment="1">
      <alignment horizontal="left" vertical="top"/>
    </xf>
    <xf numFmtId="0" fontId="18" fillId="16" borderId="17" xfId="0" applyFont="1" applyFill="1" applyBorder="1" applyAlignment="1">
      <alignment horizontal="left" vertical="top"/>
    </xf>
    <xf numFmtId="0" fontId="18" fillId="16" borderId="0" xfId="0" applyFont="1" applyFill="1" applyAlignment="1">
      <alignment horizontal="left" vertical="top"/>
    </xf>
    <xf numFmtId="0" fontId="18" fillId="16" borderId="31" xfId="0" applyFont="1" applyFill="1" applyBorder="1" applyAlignment="1">
      <alignment horizontal="left" vertical="top"/>
    </xf>
    <xf numFmtId="0" fontId="18" fillId="16" borderId="40" xfId="0" applyFont="1" applyFill="1" applyBorder="1" applyAlignment="1">
      <alignment horizontal="left" vertical="top"/>
    </xf>
    <xf numFmtId="0" fontId="18" fillId="16" borderId="34" xfId="0" applyFont="1" applyFill="1" applyBorder="1" applyAlignment="1">
      <alignment horizontal="left" vertical="top"/>
    </xf>
    <xf numFmtId="0" fontId="18" fillId="16" borderId="35" xfId="0" applyFont="1" applyFill="1" applyBorder="1" applyAlignment="1">
      <alignment horizontal="left" vertical="top"/>
    </xf>
    <xf numFmtId="0" fontId="2" fillId="5" borderId="13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/>
    </xf>
    <xf numFmtId="0" fontId="2" fillId="5" borderId="17" xfId="0" applyFont="1" applyFill="1" applyBorder="1" applyAlignment="1">
      <alignment horizontal="center" vertical="top"/>
    </xf>
    <xf numFmtId="0" fontId="2" fillId="5" borderId="40" xfId="0" applyFont="1" applyFill="1" applyBorder="1" applyAlignment="1">
      <alignment horizontal="center" vertical="top"/>
    </xf>
    <xf numFmtId="0" fontId="0" fillId="8" borderId="49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0" fontId="7" fillId="8" borderId="72" xfId="0" applyFont="1" applyFill="1" applyBorder="1" applyAlignment="1">
      <alignment horizontal="left"/>
    </xf>
    <xf numFmtId="0" fontId="6" fillId="11" borderId="59" xfId="0" applyFont="1" applyFill="1" applyBorder="1" applyAlignment="1">
      <alignment horizontal="center"/>
    </xf>
    <xf numFmtId="0" fontId="6" fillId="11" borderId="21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</cellXfs>
  <cellStyles count="16">
    <cellStyle name="Euro" xfId="6" xr:uid="{00000000-0005-0000-0000-000000000000}"/>
    <cellStyle name="Gut" xfId="2" builtinId="26"/>
    <cellStyle name="Komma" xfId="1" builtinId="3"/>
    <cellStyle name="Link" xfId="15" builtinId="8"/>
    <cellStyle name="Millares [0]_Anexo 17.2 Mengengerüst Elementos de instalación" xfId="7" xr:uid="{00000000-0005-0000-0000-000003000000}"/>
    <cellStyle name="Millares_Anexo 17.2 Mengengerüst Elementos de instalación" xfId="8" xr:uid="{00000000-0005-0000-0000-000004000000}"/>
    <cellStyle name="Moneda [0]_Anexo 17.2 Mengengerüst Elementos de instalación" xfId="9" xr:uid="{00000000-0005-0000-0000-000005000000}"/>
    <cellStyle name="Moneda_Anexo 17.2 Mengengerüst Elementos de instalación" xfId="10" xr:uid="{00000000-0005-0000-0000-000006000000}"/>
    <cellStyle name="Normal 2" xfId="14" xr:uid="{00000000-0005-0000-0000-000007000000}"/>
    <cellStyle name="Normal_Anexo 17.2 Mengengerüst Elementos de instalación" xfId="11" xr:uid="{00000000-0005-0000-0000-000008000000}"/>
    <cellStyle name="Prozent" xfId="3" builtinId="5"/>
    <cellStyle name="Prozent 2" xfId="13" xr:uid="{00000000-0005-0000-0000-00000A000000}"/>
    <cellStyle name="Prozent 3" xfId="12" xr:uid="{00000000-0005-0000-0000-00000B000000}"/>
    <cellStyle name="Standard" xfId="0" builtinId="0"/>
    <cellStyle name="Standard 2" xfId="5" xr:uid="{00000000-0005-0000-0000-00000D000000}"/>
    <cellStyle name="Währung" xfId="4" builtinId="4"/>
  </cellStyles>
  <dxfs count="75">
    <dxf>
      <font>
        <b/>
        <i val="0"/>
        <color theme="5"/>
      </font>
      <fill>
        <patternFill patternType="solid">
          <bgColor theme="0" tint="-0.14996795556505021"/>
        </patternFill>
      </fill>
    </dxf>
    <dxf>
      <font>
        <b/>
        <i val="0"/>
        <color rgb="FF008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rgb="FFFFE7E8"/>
        </patternFill>
      </fill>
    </dxf>
    <dxf>
      <font>
        <color theme="0" tint="-0.24994659260841701"/>
      </font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E73707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 patternType="solid">
          <bgColor theme="0" tint="-0.14996795556505021"/>
        </patternFill>
      </fill>
    </dxf>
    <dxf>
      <font>
        <b/>
        <i val="0"/>
        <color rgb="FF008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rgb="FFFFE7E8"/>
        </patternFill>
      </fill>
    </dxf>
    <dxf>
      <font>
        <color theme="0" tint="-0.24994659260841701"/>
      </font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E73707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 patternType="solid">
          <bgColor theme="0" tint="-0.14996795556505021"/>
        </patternFill>
      </fill>
    </dxf>
    <dxf>
      <font>
        <b/>
        <i val="0"/>
        <color rgb="FF008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rgb="FFFFE7E8"/>
        </patternFill>
      </fill>
    </dxf>
    <dxf>
      <font>
        <color theme="0" tint="-0.24994659260841701"/>
      </font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E73707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 patternType="solid">
          <bgColor theme="0" tint="-0.14996795556505021"/>
        </patternFill>
      </fill>
    </dxf>
    <dxf>
      <font>
        <b/>
        <i val="0"/>
        <color rgb="FF008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rgb="FFFFE7E8"/>
        </patternFill>
      </fill>
    </dxf>
    <dxf>
      <font>
        <color theme="0" tint="-0.24994659260841701"/>
      </font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E73707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 patternType="solid">
          <bgColor theme="0" tint="-0.14996795556505021"/>
        </patternFill>
      </fill>
    </dxf>
    <dxf>
      <font>
        <b/>
        <i val="0"/>
        <color rgb="FF008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rgb="FFFFE7E8"/>
        </patternFill>
      </fill>
    </dxf>
    <dxf>
      <font>
        <color theme="0" tint="-0.24994659260841701"/>
      </font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E73707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FFCC"/>
      <color rgb="FFFFCCFF"/>
      <color rgb="FFFF5050"/>
      <color rgb="FFFF66FF"/>
      <color rgb="FFE737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Info!$B$6</c:f>
          <c:strCache>
            <c:ptCount val="1"/>
            <c:pt idx="0">
              <c:v>P47551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Info!$A$9</c:f>
              <c:strCache>
                <c:ptCount val="1"/>
                <c:pt idx="0">
                  <c:v>Umsatz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Info!$B$3</c:f>
              <c:strCache>
                <c:ptCount val="1"/>
                <c:pt idx="0">
                  <c:v>KW53</c:v>
                </c:pt>
              </c:strCache>
            </c:strRef>
          </c:cat>
          <c:val>
            <c:numRef>
              <c:f>Info!$F$11</c:f>
              <c:numCache>
                <c:formatCode>_("€"* #,##0.00_);_("€"* \(#,##0.00\);_("€"* "-"??_);_(@_)</c:formatCode>
                <c:ptCount val="1"/>
                <c:pt idx="0">
                  <c:v>27274.5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3-4197-979A-06D72D5930F6}"/>
            </c:ext>
          </c:extLst>
        </c:ser>
        <c:ser>
          <c:idx val="1"/>
          <c:order val="1"/>
          <c:tx>
            <c:strRef>
              <c:f>Info!$A$42</c:f>
              <c:strCache>
                <c:ptCount val="1"/>
                <c:pt idx="0">
                  <c:v>Vorkalkulation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Info!$B$3</c:f>
              <c:strCache>
                <c:ptCount val="1"/>
                <c:pt idx="0">
                  <c:v>KW53</c:v>
                </c:pt>
              </c:strCache>
            </c:strRef>
          </c:cat>
          <c:val>
            <c:numRef>
              <c:f>Info!$B$42</c:f>
              <c:numCache>
                <c:formatCode>_-* #,##0\ "€"_-;\-* #,##0\ "€"_-;_-* "-"??\ "€"_-;_-@_-</c:formatCode>
                <c:ptCount val="1"/>
                <c:pt idx="0">
                  <c:v>13915.28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3-4197-979A-06D72D5930F6}"/>
            </c:ext>
          </c:extLst>
        </c:ser>
        <c:ser>
          <c:idx val="2"/>
          <c:order val="2"/>
          <c:tx>
            <c:strRef>
              <c:f>Info!$A$51</c:f>
              <c:strCache>
                <c:ptCount val="1"/>
                <c:pt idx="0">
                  <c:v>HK 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Info!$B$3</c:f>
              <c:strCache>
                <c:ptCount val="1"/>
                <c:pt idx="0">
                  <c:v>KW53</c:v>
                </c:pt>
              </c:strCache>
            </c:strRef>
          </c:cat>
          <c:val>
            <c:numRef>
              <c:f>Info!$B$51</c:f>
              <c:numCache>
                <c:formatCode>_-* #,##0\ "€"_-;\-* #,##0\ "€"_-;_-* "-"??\ "€"_-;_-@_-</c:formatCode>
                <c:ptCount val="1"/>
                <c:pt idx="0">
                  <c:v>3070.1177999999991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3-4197-979A-06D72D5930F6}"/>
            </c:ext>
          </c:extLst>
        </c:ser>
        <c:ser>
          <c:idx val="3"/>
          <c:order val="3"/>
          <c:tx>
            <c:strRef>
              <c:f>Info!$A$55</c:f>
              <c:strCache>
                <c:ptCount val="1"/>
                <c:pt idx="0">
                  <c:v>Gesamt IST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Info!$B$3</c:f>
              <c:strCache>
                <c:ptCount val="1"/>
                <c:pt idx="0">
                  <c:v>KW53</c:v>
                </c:pt>
              </c:strCache>
            </c:strRef>
          </c:cat>
          <c:val>
            <c:numRef>
              <c:f>Info!$B$55</c:f>
              <c:numCache>
                <c:formatCode>_-* #,##0\ "€"_-;\-* #,##0\ "€"_-;_-* "-"??\ "€"_-;_-@_-</c:formatCode>
                <c:ptCount val="1"/>
                <c:pt idx="0">
                  <c:v>4711.0368999999992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3-4197-979A-06D72D5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372328"/>
        <c:axId val="688373896"/>
      </c:barChart>
      <c:catAx>
        <c:axId val="68837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8373896"/>
        <c:crosses val="autoZero"/>
        <c:auto val="1"/>
        <c:lblAlgn val="ctr"/>
        <c:lblOffset val="100"/>
        <c:noMultiLvlLbl val="0"/>
      </c:catAx>
      <c:valAx>
        <c:axId val="68837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837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Herstellkosten</a:t>
            </a:r>
            <a:endParaRPr lang="de-D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8568731938810679"/>
          <c:y val="0.17171296296296296"/>
          <c:w val="0.77727564357485612"/>
          <c:h val="0.72326700575235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Info!$J$76</c:f>
              <c:strCache>
                <c:ptCount val="1"/>
                <c:pt idx="0">
                  <c:v>Soll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Gesamt</c:v>
              </c:pt>
              <c:pt idx="1">
                <c:v>Material</c:v>
              </c:pt>
              <c:pt idx="2">
                <c:v>Fertigung</c:v>
              </c:pt>
              <c:pt idx="3">
                <c:v>PM</c:v>
              </c:pt>
              <c:pt idx="4">
                <c:v>Konstruktion</c:v>
              </c:pt>
            </c:strLit>
          </c:cat>
          <c:val>
            <c:numRef>
              <c:f>Info!$J$77:$J$81</c:f>
              <c:numCache>
                <c:formatCode>_-* #,##0\ "€"_-;\-* #,##0\ "€"_-;_-* "-"??\ "€"_-;_-@_-</c:formatCode>
                <c:ptCount val="5"/>
                <c:pt idx="0">
                  <c:v>13915.28</c:v>
                </c:pt>
                <c:pt idx="1">
                  <c:v>10568.78</c:v>
                </c:pt>
                <c:pt idx="2">
                  <c:v>2096.5</c:v>
                </c:pt>
                <c:pt idx="3">
                  <c:v>250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6-4FD9-B75F-0697B845A114}"/>
            </c:ext>
          </c:extLst>
        </c:ser>
        <c:ser>
          <c:idx val="1"/>
          <c:order val="1"/>
          <c:tx>
            <c:strRef>
              <c:f>Info!$K$76</c:f>
              <c:strCache>
                <c:ptCount val="1"/>
                <c:pt idx="0">
                  <c:v>Ist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Gesamt</c:v>
              </c:pt>
              <c:pt idx="1">
                <c:v>Material</c:v>
              </c:pt>
              <c:pt idx="2">
                <c:v>Fertigung</c:v>
              </c:pt>
              <c:pt idx="3">
                <c:v>PM</c:v>
              </c:pt>
              <c:pt idx="4">
                <c:v>Konstruktion</c:v>
              </c:pt>
            </c:strLit>
          </c:cat>
          <c:val>
            <c:numRef>
              <c:f>Info!$K$77:$K$81</c:f>
              <c:numCache>
                <c:formatCode>_-* #,##0\ "€"_-;\-* #,##0\ "€"_-;_-* "-"??\ "€"_-;_-@_-</c:formatCode>
                <c:ptCount val="5"/>
                <c:pt idx="0">
                  <c:v>4711.0368999999992</c:v>
                </c:pt>
                <c:pt idx="1">
                  <c:v>-7905.5862999999999</c:v>
                </c:pt>
                <c:pt idx="2">
                  <c:v>9239.954099999999</c:v>
                </c:pt>
                <c:pt idx="3">
                  <c:v>0</c:v>
                </c:pt>
                <c:pt idx="4">
                  <c:v>1735.75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6-4FD9-B75F-0697B845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604768"/>
        <c:axId val="1069614280"/>
      </c:barChart>
      <c:catAx>
        <c:axId val="106960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9614280"/>
        <c:crosses val="autoZero"/>
        <c:auto val="1"/>
        <c:lblAlgn val="ctr"/>
        <c:lblOffset val="100"/>
        <c:noMultiLvlLbl val="0"/>
      </c:catAx>
      <c:valAx>
        <c:axId val="106961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960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615154166335264"/>
          <c:y val="0.2042818606007582"/>
          <c:w val="0.1680333518916196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../Excel_PlugIn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168934</xdr:colOff>
      <xdr:row>66</xdr:row>
      <xdr:rowOff>127191</xdr:rowOff>
    </xdr:from>
    <xdr:to>
      <xdr:col>6</xdr:col>
      <xdr:colOff>151681</xdr:colOff>
      <xdr:row>88</xdr:row>
      <xdr:rowOff>83927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514350</xdr:colOff>
      <xdr:row>3</xdr:row>
      <xdr:rowOff>6667</xdr:rowOff>
    </xdr:from>
    <xdr:to>
      <xdr:col>9</xdr:col>
      <xdr:colOff>324751</xdr:colOff>
      <xdr:row>7</xdr:row>
      <xdr:rowOff>152234</xdr:rowOff>
    </xdr:to>
    <xdr:pic>
      <xdr:nvPicPr>
        <xdr:cNvPr id="3" name="Grafik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48475" y="597217"/>
          <a:ext cx="2066556" cy="926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323851</xdr:colOff>
      <xdr:row>6</xdr:row>
      <xdr:rowOff>28575</xdr:rowOff>
    </xdr:from>
    <xdr:to>
      <xdr:col>15</xdr:col>
      <xdr:colOff>371475</xdr:colOff>
      <xdr:row>19</xdr:row>
      <xdr:rowOff>152401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ian Otto" id="{7421CA2F-F9D1-4547-B7A3-7DBFE86B285B}" userId="S::Arian.Otto@pfeiffer-vacuum.de::08683ada-834c-499f-bfca-3044f48d6cce" providerId="AD"/>
  <person displayName="Benjamin Pfeiffer" id="{669C683D-3A39-4981-9FCF-E6F02228E3B8}" userId="S::Benjamin.Pfeiffer@pfeiffer-vacuum.de::168a34c9-4887-47e3-bc35-d8b1af3c744a" providerId="AD"/>
  <person displayName="Benjamin Pfeiffer" id="{5DD28D63-CC0F-465A-853F-A27D26899B85}" userId="S::Benjamin.Pfeiffer@pfeiffer-vacuum.com::a7156a29-8b5f-4ffb-9cef-5f6fac5c50f4" providerId="AD"/>
  <person displayName="Niklas Kohlstruck" id="{F18E44B3-BA1D-4F2F-B4C0-ACA0076726CF}" userId="S::Niklas.Kohlstruck@pfeiffer-vacuum.com::73b32c47-cab1-4161-97c0-621ada1d0f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57C58-BA65-472E-8487-364F4260E4C7}" name="AG_Import" displayName="AG_Import" ref="A1:D65" totalsRowShown="0">
  <autoFilter ref="A1:D65" xr:uid="{9207CF2D-9700-4981-8140-85161822758B}"/>
  <tableColumns count="4">
    <tableColumn id="1" xr3:uid="{E9634C81-32E4-4A05-AC26-C12A21E99A3F}" name="Arbeitsgang"/>
    <tableColumn id="2" xr3:uid="{3998269F-7417-438F-8DBF-E6711782A98B}" name="Bezeichnung"/>
    <tableColumn id="3" xr3:uid="{FF42FCEE-D40D-4E95-9443-C042C3652C1B}" name="IST (h)" dataDxfId="74"/>
    <tableColumn id="4" xr3:uid="{3269DD2F-F75E-4BEC-9844-854B83E7A06F}" name="Soll (h)" dataDxfId="7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1-19T08:57:22.00" personId="{7421CA2F-F9D1-4547-B7A3-7DBFE86B285B}" id="{8623EE61-A1EC-4F7F-888E-F265D10C787F}">
    <text>Anpassung 2023:
Allgemeinkosten 5% in Margenberechnung
Stundensatz PM/ Konstruktion 47€</text>
  </threadedComment>
  <threadedComment ref="A1" dT="2023-01-20T13:37:42.83" personId="{669C683D-3A39-4981-9FCF-E6F02228E3B8}" id="{1E927523-A829-45E6-88A5-56F4D67F40FC}" parentId="{8623EE61-A1EC-4F7F-888E-F265D10C787F}">
    <text>SQL Abfrage für Kopfdaten aus MyFactory hinzugefügt</text>
  </threadedComment>
  <threadedComment ref="A1" dT="2023-01-27T12:49:01.02" personId="{5DD28D63-CC0F-465A-853F-A27D26899B85}" id="{6BFD5D97-61DF-42E0-A137-788B09D31C4D}" parentId="{8623EE61-A1EC-4F7F-888E-F265D10C787F}">
    <text>SQL Abfragen PA, VK, Stunden (nochBETA!!!)
Controlingblatt für aktuelle KW automatisch anlegen
KW Blätter aus altdatei einlesen</text>
  </threadedComment>
  <threadedComment ref="A1" dT="2023-02-06T07:41:08.39" personId="{5DD28D63-CC0F-465A-853F-A27D26899B85}" id="{6AAE3572-29B9-420A-875F-D65061A84F74}" parentId="{8623EE61-A1EC-4F7F-888E-F265D10C787F}">
    <text>"Import Altdaten" erweitert jetzt Spalten in Auswertung</text>
  </threadedComment>
  <threadedComment ref="A1" dT="2023-02-06T12:05:39.79" personId="{5DD28D63-CC0F-465A-853F-A27D26899B85}" id="{EEAAA4C0-CFEE-4050-BDE7-3C4FD87F1003}" parentId="{8623EE61-A1EC-4F7F-888E-F265D10C787F}">
    <text>Neue Abfrage für PA Daten</text>
  </threadedComment>
  <threadedComment ref="A1" dT="2023-02-06T15:10:22.63" personId="{5DD28D63-CC0F-465A-853F-A27D26899B85}" id="{3ACD22F6-9504-42B5-A6B5-F6E394C2A7F7}" parentId="{8623EE61-A1EC-4F7F-888E-F265D10C787F}">
    <text>Offene Arbeit wird Abgefragt</text>
  </threadedComment>
  <threadedComment ref="A1" dT="2023-02-06T16:22:23.59" personId="{5DD28D63-CC0F-465A-853F-A27D26899B85}" id="{AA668A27-E13B-4B06-BAFC-B6F443509218}" parentId="{8623EE61-A1EC-4F7F-888E-F265D10C787F}">
    <text>bugfix Material</text>
  </threadedComment>
  <threadedComment ref="A1" dT="2023-02-06T16:31:18.42" personId="{5DD28D63-CC0F-465A-853F-A27D26899B85}" id="{B7E84261-1312-4704-AF37-6741D6467C44}" parentId="{8623EE61-A1EC-4F7F-888E-F265D10C787F}">
    <text>Abfrage Artikelnummer</text>
  </threadedComment>
  <threadedComment ref="A1" dT="2023-02-07T10:44:02.52" personId="{5DD28D63-CC0F-465A-853F-A27D26899B85}" id="{973BA03B-6945-41E7-96E5-5E3D79DEA085}" parentId="{8623EE61-A1EC-4F7F-888E-F265D10C787F}">
    <text>bugfix Auswertungsspalten</text>
  </threadedComment>
  <threadedComment ref="A1" dT="2023-02-07T10:44:36.17" personId="{5DD28D63-CC0F-465A-853F-A27D26899B85}" id="{CE571BA6-9043-4EC9-8A3D-0A120FD53EA1}" parentId="{8623EE61-A1EC-4F7F-888E-F265D10C787F}">
    <text>Endtermin in template ohne Funktion (muss händisch eingetragen werden)</text>
  </threadedComment>
  <threadedComment ref="A1" dT="2023-02-07T15:39:44.58" personId="{5DD28D63-CC0F-465A-853F-A27D26899B85}" id="{5EA96EB4-3299-4A2A-8421-BF8ABF0DDB77}" parentId="{8623EE61-A1EC-4F7F-888E-F265D10C787F}">
    <text>VK einlesen entsprechend vorgegebenem Schema</text>
  </threadedComment>
  <threadedComment ref="A1" dT="2023-02-07T15:40:09.41" personId="{5DD28D63-CC0F-465A-853F-A27D26899B85}" id="{B8AFE42A-D24A-4CAB-8484-D24A4C5C9FA1}" parentId="{8623EE61-A1EC-4F7F-888E-F265D10C787F}">
    <text>Bugfix Abfrage Projekt- &amp; Konstruktionsstunden IST</text>
  </threadedComment>
  <threadedComment ref="A1" dT="2023-02-08T09:17:00.40" personId="{5DD28D63-CC0F-465A-853F-A27D26899B85}" id="{D539BCEE-ADA2-40DA-A583-BC499A05274A}" parentId="{8623EE61-A1EC-4F7F-888E-F265D10C787F}">
    <text>Stundenauswertung -&gt; VK / Vertriebsunterstützung wird ausgewertet. Konstruktion(Projektbetreuung) wird auf PM gezählt</text>
  </threadedComment>
  <threadedComment ref="A1" dT="2023-02-08T11:33:50.06" personId="{5DD28D63-CC0F-465A-853F-A27D26899B85}" id="{3845B95D-6D6F-4916-8FB1-9AFFE75D74AA}" parentId="{8623EE61-A1EC-4F7F-888E-F265D10C787F}">
    <text>PA Status wird abgefragt
 bei "Eingeplant" ArbeitIST = ArbeitSoll</text>
  </threadedComment>
  <threadedComment ref="A1" dT="2023-02-10T12:35:55.93" personId="{5DD28D63-CC0F-465A-853F-A27D26899B85}" id="{7771DA23-D33F-4020-A09A-2DE3D35BBCB4}" parentId="{8623EE61-A1EC-4F7F-888E-F265D10C787F}">
    <text>Bugfix Offene Arbeit
Bugfix Grafik ohne template</text>
  </threadedComment>
  <threadedComment ref="A1" dT="2023-02-13T15:51:31.86" personId="{5DD28D63-CC0F-465A-853F-A27D26899B85}" id="{436C7E61-C90E-47F5-A20B-629D94EA8EA2}" parentId="{8623EE61-A1EC-4F7F-888E-F265D10C787F}">
    <text>Neues Modul VK Einlesen. Es können jetzt die Artikel ausgewählt werden, die berücksichtigt werden sollen.</text>
  </threadedComment>
  <threadedComment ref="A1" dT="2023-02-14T08:59:14.40" personId="{5DD28D63-CC0F-465A-853F-A27D26899B85}" id="{2954DC16-EB65-4E8D-A21C-233BCF197375}" parentId="{8623EE61-A1EC-4F7F-888E-F265D10C787F}">
    <text>Bugfix VK holen</text>
  </threadedComment>
  <threadedComment ref="A1" dT="2023-02-24T12:39:00.72" personId="{5DD28D63-CC0F-465A-853F-A27D26899B85}" id="{4288E5E7-B1AC-4653-9E7B-DD360FE6503D}" parentId="{8623EE61-A1EC-4F7F-888E-F265D10C787F}">
    <text>Zeiten Arbeitsgänge eingefügt auf Deckblatt</text>
  </threadedComment>
  <threadedComment ref="A1" dT="2023-03-06T15:30:11.96" personId="{5DD28D63-CC0F-465A-853F-A27D26899B85}" id="{DBE0B616-FCE4-4B93-8651-B18F2410AD2E}" parentId="{8623EE61-A1EC-4F7F-888E-F265D10C787F}">
    <text>Arbeitsgänge "Soll" korrigiert</text>
  </threadedComment>
  <threadedComment ref="A1" dT="2023-03-07T09:56:19.28" personId="{5DD28D63-CC0F-465A-853F-A27D26899B85}" id="{0519A242-303B-416E-B7EB-A89452212133}" parentId="{8623EE61-A1EC-4F7F-888E-F265D10C787F}">
    <text>Arbeitsgangabfrage überarbeitet</text>
  </threadedComment>
  <threadedComment ref="A1" dT="2023-03-17T13:33:13.58" personId="{5DD28D63-CC0F-465A-853F-A27D26899B85}" id="{17C19C0B-82FD-4AD3-AA2A-BA279781556E}" parentId="{8623EE61-A1EC-4F7F-888E-F265D10C787F}">
    <text>neue Version über Plug-In</text>
  </threadedComment>
  <threadedComment ref="A1" dT="2023-06-19T12:28:13.56" personId="{F18E44B3-BA1D-4F2F-B4C0-ACA0076726CF}" id="{9F6F1E8F-B4BC-4C41-82D4-FC54CEE3B6DE}" parentId="{8623EE61-A1EC-4F7F-888E-F265D10C787F}">
    <text>Dropdownliste in Projektabschluss im Feld "Projektart" eingefügt</text>
  </threadedComment>
  <threadedComment ref="A1" dT="2025-03-13T10:49:10.95" personId="{F18E44B3-BA1D-4F2F-B4C0-ACA0076726CF}" id="{98203714-AAD3-4286-B4C4-95634DD60CBB}" parentId="{8623EE61-A1EC-4F7F-888E-F265D10C787F}">
    <text xml:space="preserve">Change Management entfernt
Stundensatz PM und KO auf 53€ angepasst. Format auf .xlsx angepasst für SharePoint Migration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uschvacuum.sharepoint.com/sites/pv-de30-portal/@GMT-2024.01.12-11.00.04/01_Projektcontrolling/Excel_PlugIn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X89"/>
  <sheetViews>
    <sheetView showGridLines="0" zoomScaleNormal="100" workbookViewId="0">
      <selection activeCell="K13" sqref="K13:L13"/>
    </sheetView>
  </sheetViews>
  <sheetFormatPr baseColWidth="10" defaultColWidth="11.42578125" defaultRowHeight="15" x14ac:dyDescent="0.25"/>
  <cols>
    <col min="1" max="1" width="34" customWidth="1"/>
    <col min="2" max="2" width="14.5703125" customWidth="1"/>
    <col min="3" max="5" width="10.5703125" customWidth="1"/>
    <col min="6" max="6" width="14.42578125" customWidth="1"/>
    <col min="7" max="8" width="10.5703125" customWidth="1"/>
    <col min="9" max="9" width="12.5703125" customWidth="1"/>
    <col min="10" max="11" width="10.5703125" customWidth="1"/>
  </cols>
  <sheetData>
    <row r="1" spans="1:15" x14ac:dyDescent="0.25">
      <c r="A1" s="271">
        <v>45729</v>
      </c>
      <c r="B1" s="30"/>
      <c r="E1" s="30"/>
      <c r="F1" s="422" t="s">
        <v>0</v>
      </c>
      <c r="G1" s="423"/>
      <c r="H1" s="423"/>
      <c r="I1" s="423"/>
      <c r="J1" s="424"/>
    </row>
    <row r="2" spans="1:15" ht="15.75" thickBot="1" x14ac:dyDescent="0.3">
      <c r="A2" s="271" t="s">
        <v>1</v>
      </c>
      <c r="B2" s="270">
        <f ca="1">WEEKNUM(TODAY())</f>
        <v>53</v>
      </c>
      <c r="E2" s="30"/>
      <c r="F2" s="324"/>
      <c r="J2" s="325"/>
    </row>
    <row r="3" spans="1:15" ht="15.75" thickBot="1" x14ac:dyDescent="0.3">
      <c r="A3" s="148" t="s">
        <v>2</v>
      </c>
      <c r="B3" s="44" t="s">
        <v>301</v>
      </c>
      <c r="F3" s="324" t="s">
        <v>3</v>
      </c>
      <c r="J3" s="325"/>
    </row>
    <row r="4" spans="1:15" ht="16.5" thickBot="1" x14ac:dyDescent="0.3">
      <c r="A4" s="32" t="s">
        <v>4</v>
      </c>
      <c r="B4" s="30"/>
      <c r="C4" s="30"/>
      <c r="D4" s="30"/>
      <c r="E4" s="30"/>
      <c r="F4" s="324"/>
      <c r="J4" s="325"/>
      <c r="K4" s="319" t="s">
        <v>5</v>
      </c>
      <c r="L4" s="319"/>
      <c r="M4" s="314" t="s">
        <v>6</v>
      </c>
      <c r="N4" s="315" t="s">
        <v>7</v>
      </c>
    </row>
    <row r="5" spans="1:15" ht="14.25" customHeight="1" x14ac:dyDescent="0.25">
      <c r="A5" s="49" t="s">
        <v>8</v>
      </c>
      <c r="B5" s="425" t="s">
        <v>21</v>
      </c>
      <c r="C5" s="425"/>
      <c r="D5" s="425"/>
      <c r="E5" s="426"/>
      <c r="F5" s="324"/>
      <c r="J5" s="325"/>
      <c r="K5" s="429" t="s">
        <v>9</v>
      </c>
      <c r="L5" s="430"/>
      <c r="M5" s="320">
        <v>0</v>
      </c>
      <c r="N5" s="321">
        <v>0</v>
      </c>
    </row>
    <row r="6" spans="1:15" x14ac:dyDescent="0.25">
      <c r="A6" s="50" t="s">
        <v>10</v>
      </c>
      <c r="B6" s="397" t="s">
        <v>184</v>
      </c>
      <c r="C6" s="398"/>
      <c r="D6" s="398"/>
      <c r="E6" s="399"/>
      <c r="F6" s="324"/>
      <c r="J6" s="325"/>
      <c r="K6" s="431" t="s">
        <v>11</v>
      </c>
      <c r="L6" s="390"/>
      <c r="M6" s="320">
        <v>0.33329999446868896</v>
      </c>
      <c r="N6" s="321">
        <v>0.34189999103546143</v>
      </c>
    </row>
    <row r="7" spans="1:15" ht="15.75" x14ac:dyDescent="0.25">
      <c r="A7" s="50" t="s">
        <v>12</v>
      </c>
      <c r="B7" s="397" t="s">
        <v>187</v>
      </c>
      <c r="C7" s="398"/>
      <c r="D7" s="398"/>
      <c r="E7" s="399"/>
      <c r="F7" s="324"/>
      <c r="J7" s="325"/>
      <c r="K7" s="431" t="s">
        <v>13</v>
      </c>
      <c r="L7" s="390"/>
      <c r="M7" s="320">
        <v>0</v>
      </c>
      <c r="N7" s="321">
        <v>0</v>
      </c>
      <c r="O7" s="313"/>
    </row>
    <row r="8" spans="1:15" ht="15.75" thickBot="1" x14ac:dyDescent="0.3">
      <c r="A8" s="50" t="s">
        <v>14</v>
      </c>
      <c r="B8" s="403" t="s">
        <v>186</v>
      </c>
      <c r="C8" s="398"/>
      <c r="D8" s="398"/>
      <c r="E8" s="399"/>
      <c r="F8" s="316"/>
      <c r="G8" s="317"/>
      <c r="H8" s="317"/>
      <c r="I8" s="317"/>
      <c r="J8" s="318"/>
      <c r="K8" s="431" t="s">
        <v>15</v>
      </c>
      <c r="L8" s="390"/>
      <c r="M8" s="320">
        <v>3.3333001136779785</v>
      </c>
      <c r="N8" s="321">
        <v>1.9522000551223755</v>
      </c>
    </row>
    <row r="9" spans="1:15" x14ac:dyDescent="0.25">
      <c r="A9" s="50" t="s">
        <v>16</v>
      </c>
      <c r="B9" s="427">
        <v>27274.5</v>
      </c>
      <c r="C9" s="427"/>
      <c r="D9" s="427"/>
      <c r="E9" s="428"/>
      <c r="G9" t="s">
        <v>17</v>
      </c>
      <c r="H9" s="2">
        <v>1.1000000000000001</v>
      </c>
      <c r="K9" s="389" t="s">
        <v>18</v>
      </c>
      <c r="L9" s="390"/>
      <c r="M9" s="320">
        <v>4</v>
      </c>
      <c r="N9" s="321">
        <v>1.5515999794006348</v>
      </c>
      <c r="O9" s="1"/>
    </row>
    <row r="10" spans="1:15" x14ac:dyDescent="0.25">
      <c r="A10" s="160" t="s">
        <v>19</v>
      </c>
      <c r="B10" s="326" t="s">
        <v>20</v>
      </c>
      <c r="C10" s="326" t="s">
        <v>21</v>
      </c>
      <c r="D10" s="326" t="s">
        <v>22</v>
      </c>
      <c r="E10" s="327" t="s">
        <v>23</v>
      </c>
      <c r="K10" s="389" t="s">
        <v>24</v>
      </c>
      <c r="L10" s="390"/>
      <c r="M10" s="320">
        <v>0</v>
      </c>
      <c r="N10" s="321">
        <v>0</v>
      </c>
      <c r="O10" s="310"/>
    </row>
    <row r="11" spans="1:15" x14ac:dyDescent="0.25">
      <c r="A11" s="50"/>
      <c r="B11" s="260"/>
      <c r="C11" s="260">
        <v>0</v>
      </c>
      <c r="D11" s="260">
        <v>0</v>
      </c>
      <c r="E11" s="276">
        <v>0</v>
      </c>
      <c r="F11" s="236">
        <f>B9+B11+C11+D11+E11</f>
        <v>27274.5</v>
      </c>
      <c r="K11" s="389" t="s">
        <v>25</v>
      </c>
      <c r="L11" s="390"/>
      <c r="M11" s="320">
        <v>12</v>
      </c>
      <c r="N11" s="321">
        <v>9.1609001159667969</v>
      </c>
      <c r="O11" s="310"/>
    </row>
    <row r="12" spans="1:15" x14ac:dyDescent="0.25">
      <c r="A12" s="50" t="s">
        <v>26</v>
      </c>
      <c r="B12" s="404" t="s">
        <v>189</v>
      </c>
      <c r="C12" s="404"/>
      <c r="D12" s="404"/>
      <c r="E12" s="405"/>
      <c r="K12" s="389" t="s">
        <v>27</v>
      </c>
      <c r="L12" s="390"/>
      <c r="M12" s="320">
        <v>0</v>
      </c>
      <c r="N12" s="321">
        <v>0</v>
      </c>
      <c r="O12" s="310"/>
    </row>
    <row r="13" spans="1:15" ht="15.75" thickBot="1" x14ac:dyDescent="0.3">
      <c r="A13" s="51" t="s">
        <v>28</v>
      </c>
      <c r="B13" s="416">
        <v>45915</v>
      </c>
      <c r="C13" s="417"/>
      <c r="D13" s="417"/>
      <c r="E13" s="418"/>
      <c r="F13" s="250"/>
      <c r="K13" s="389" t="s">
        <v>29</v>
      </c>
      <c r="L13" s="390"/>
      <c r="M13" s="320">
        <v>29.333300113677979</v>
      </c>
      <c r="N13" s="321">
        <v>60.603100299835205</v>
      </c>
      <c r="O13" s="310"/>
    </row>
    <row r="14" spans="1:15" ht="15.75" thickBot="1" x14ac:dyDescent="0.3">
      <c r="A14" s="277" t="s">
        <v>30</v>
      </c>
      <c r="B14" s="409" t="s">
        <v>188</v>
      </c>
      <c r="C14" s="410"/>
      <c r="D14" s="410"/>
      <c r="E14" s="411"/>
      <c r="K14" s="389" t="s">
        <v>31</v>
      </c>
      <c r="L14" s="390"/>
      <c r="M14" s="320">
        <v>18.166600227355957</v>
      </c>
      <c r="N14" s="321">
        <v>13.434600114822388</v>
      </c>
      <c r="O14" s="310"/>
    </row>
    <row r="15" spans="1:15" ht="19.5" x14ac:dyDescent="0.4">
      <c r="A15" s="49" t="s">
        <v>32</v>
      </c>
      <c r="B15" s="400" t="s">
        <v>191</v>
      </c>
      <c r="C15" s="401"/>
      <c r="D15" s="30"/>
      <c r="E15" s="259"/>
      <c r="H15" s="412"/>
      <c r="I15" s="412"/>
      <c r="K15" s="389" t="s">
        <v>33</v>
      </c>
      <c r="L15" s="390"/>
      <c r="M15" s="320">
        <v>0</v>
      </c>
      <c r="N15" s="321">
        <v>0</v>
      </c>
      <c r="O15" s="310"/>
    </row>
    <row r="16" spans="1:15" ht="15.75" thickBot="1" x14ac:dyDescent="0.3">
      <c r="A16" s="51" t="s">
        <v>34</v>
      </c>
      <c r="B16" s="395"/>
      <c r="C16" s="396"/>
      <c r="D16" s="30"/>
      <c r="E16" s="30"/>
      <c r="F16" s="250"/>
      <c r="H16" s="412"/>
      <c r="I16" s="412"/>
      <c r="K16" s="389" t="s">
        <v>35</v>
      </c>
      <c r="L16" s="390"/>
      <c r="M16" s="320">
        <v>6.333299994468689</v>
      </c>
      <c r="N16" s="321">
        <v>1.887499988079071</v>
      </c>
      <c r="O16" s="310"/>
    </row>
    <row r="17" spans="1:16" ht="15.75" thickBot="1" x14ac:dyDescent="0.3">
      <c r="A17" s="52"/>
      <c r="B17" s="402"/>
      <c r="C17" s="402"/>
      <c r="D17" s="30"/>
      <c r="E17" s="30"/>
      <c r="K17" s="389" t="s">
        <v>36</v>
      </c>
      <c r="L17" s="390"/>
      <c r="M17" s="320">
        <v>0</v>
      </c>
      <c r="N17" s="321">
        <v>0</v>
      </c>
      <c r="O17" s="310"/>
    </row>
    <row r="18" spans="1:16" x14ac:dyDescent="0.25">
      <c r="A18" s="45"/>
      <c r="B18" s="419"/>
      <c r="C18" s="420"/>
      <c r="D18" s="420"/>
      <c r="E18" s="420"/>
      <c r="F18" s="420"/>
      <c r="G18" s="420"/>
      <c r="H18" s="420"/>
      <c r="I18" s="421"/>
      <c r="K18" s="389" t="s">
        <v>37</v>
      </c>
      <c r="L18" s="390"/>
      <c r="M18" s="320">
        <v>0</v>
      </c>
      <c r="N18" s="321">
        <v>0</v>
      </c>
      <c r="O18" s="310"/>
    </row>
    <row r="19" spans="1:16" x14ac:dyDescent="0.25">
      <c r="A19" s="46" t="s">
        <v>38</v>
      </c>
      <c r="B19" s="406" t="s">
        <v>185</v>
      </c>
      <c r="C19" s="407"/>
      <c r="D19" s="407"/>
      <c r="E19" s="407"/>
      <c r="F19" s="407"/>
      <c r="G19" s="407"/>
      <c r="H19" s="407"/>
      <c r="I19" s="408"/>
      <c r="K19" s="389" t="s">
        <v>39</v>
      </c>
      <c r="L19" s="390"/>
      <c r="M19" s="320">
        <v>2.133000023663044</v>
      </c>
      <c r="N19" s="321">
        <v>1.1189999878406525</v>
      </c>
      <c r="O19" s="310"/>
    </row>
    <row r="20" spans="1:16" x14ac:dyDescent="0.25">
      <c r="A20" s="47" t="s">
        <v>40</v>
      </c>
      <c r="B20" s="406" t="s">
        <v>192</v>
      </c>
      <c r="C20" s="407"/>
      <c r="D20" s="407"/>
      <c r="E20" s="407"/>
      <c r="F20" s="407"/>
      <c r="G20" s="407"/>
      <c r="H20" s="407"/>
      <c r="I20" s="408"/>
      <c r="K20" s="389" t="s">
        <v>42</v>
      </c>
      <c r="L20" s="390"/>
      <c r="M20" s="320">
        <v>15.333299994468689</v>
      </c>
      <c r="N20" s="321">
        <v>5.3634000085294247</v>
      </c>
      <c r="O20" s="310"/>
    </row>
    <row r="21" spans="1:16" ht="15.75" customHeight="1" thickBot="1" x14ac:dyDescent="0.3">
      <c r="A21" s="48" t="s">
        <v>43</v>
      </c>
      <c r="B21" s="413"/>
      <c r="C21" s="414"/>
      <c r="D21" s="414"/>
      <c r="E21" s="414"/>
      <c r="F21" s="414"/>
      <c r="G21" s="414"/>
      <c r="H21" s="414"/>
      <c r="I21" s="415"/>
      <c r="K21" s="389" t="s">
        <v>44</v>
      </c>
      <c r="L21" s="390"/>
      <c r="M21" s="320">
        <v>0</v>
      </c>
      <c r="N21" s="321">
        <v>0</v>
      </c>
      <c r="O21" s="311"/>
    </row>
    <row r="22" spans="1:16" ht="15" customHeight="1" x14ac:dyDescent="0.25">
      <c r="A22" s="381"/>
      <c r="B22" s="393"/>
      <c r="C22" s="394"/>
      <c r="D22" s="30"/>
      <c r="E22" s="30"/>
      <c r="K22" s="389" t="s">
        <v>45</v>
      </c>
      <c r="L22" s="390"/>
      <c r="M22" s="320">
        <v>4</v>
      </c>
      <c r="N22" s="321">
        <v>5.5447001457214355</v>
      </c>
      <c r="O22" s="312"/>
    </row>
    <row r="23" spans="1:16" ht="16.5" customHeight="1" x14ac:dyDescent="0.25">
      <c r="A23" s="30"/>
      <c r="B23" s="31"/>
      <c r="C23" s="31"/>
      <c r="D23" s="30"/>
      <c r="E23" s="30"/>
      <c r="H23" s="235"/>
      <c r="I23" s="234"/>
      <c r="J23" s="234"/>
      <c r="K23" s="389" t="s">
        <v>46</v>
      </c>
      <c r="L23" s="390"/>
      <c r="M23" s="320">
        <v>17</v>
      </c>
      <c r="N23" s="321">
        <v>15.027600109577179</v>
      </c>
      <c r="O23" s="234"/>
      <c r="P23" s="234"/>
    </row>
    <row r="24" spans="1:16" ht="14.25" customHeight="1" x14ac:dyDescent="0.25">
      <c r="A24" s="30"/>
      <c r="B24" s="31"/>
      <c r="C24" s="31"/>
      <c r="D24" s="30"/>
      <c r="E24" s="30"/>
      <c r="F24" s="30"/>
      <c r="G24" s="30"/>
      <c r="H24" s="234"/>
      <c r="I24" s="234"/>
      <c r="J24" s="234"/>
      <c r="K24" s="389" t="s">
        <v>47</v>
      </c>
      <c r="L24" s="390"/>
      <c r="M24" s="320">
        <v>0</v>
      </c>
      <c r="N24" s="321">
        <v>0</v>
      </c>
      <c r="O24" s="234"/>
      <c r="P24" s="234"/>
    </row>
    <row r="25" spans="1:16" x14ac:dyDescent="0.25">
      <c r="A25" s="30"/>
      <c r="B25" s="31"/>
      <c r="C25" s="31"/>
      <c r="D25" s="30"/>
      <c r="E25" s="30"/>
      <c r="H25" s="234"/>
      <c r="I25" s="234"/>
      <c r="J25" s="234"/>
      <c r="K25" s="389" t="s">
        <v>48</v>
      </c>
      <c r="L25" s="390"/>
      <c r="M25" s="320">
        <v>5.4998999834060669</v>
      </c>
      <c r="N25" s="321">
        <v>5.8184999823570251</v>
      </c>
      <c r="O25" s="234"/>
      <c r="P25" s="234"/>
    </row>
    <row r="26" spans="1:16" x14ac:dyDescent="0.25">
      <c r="H26" s="234"/>
      <c r="I26" s="234"/>
      <c r="J26" s="234"/>
      <c r="K26" s="389" t="s">
        <v>49</v>
      </c>
      <c r="L26" s="390"/>
      <c r="M26" s="320">
        <v>29.533000228926539</v>
      </c>
      <c r="N26" s="321">
        <v>8.8676996976137161</v>
      </c>
      <c r="O26" s="234"/>
      <c r="P26" s="234"/>
    </row>
    <row r="27" spans="1:16" ht="15.75" thickBot="1" x14ac:dyDescent="0.3">
      <c r="H27" s="234"/>
      <c r="I27" s="234"/>
      <c r="J27" s="234"/>
      <c r="K27" s="387" t="s">
        <v>50</v>
      </c>
      <c r="L27" s="388"/>
      <c r="M27" s="322">
        <f>SUM(M5:M26)</f>
        <v>146.99900067411363</v>
      </c>
      <c r="N27" s="323">
        <f>SUM(N5:N26)</f>
        <v>130.67270047590137</v>
      </c>
      <c r="O27" s="234"/>
      <c r="P27" s="234"/>
    </row>
    <row r="28" spans="1:16" ht="16.5" thickTop="1" thickBot="1" x14ac:dyDescent="0.3">
      <c r="H28" s="234"/>
      <c r="I28" s="234"/>
      <c r="J28" s="234"/>
      <c r="K28" s="316"/>
      <c r="L28" s="317"/>
      <c r="M28" s="317"/>
      <c r="N28" s="318"/>
      <c r="O28" s="234"/>
      <c r="P28" s="234"/>
    </row>
    <row r="29" spans="1:16" x14ac:dyDescent="0.25">
      <c r="H29" s="234"/>
      <c r="I29" s="234"/>
      <c r="J29" s="234"/>
      <c r="K29" s="234"/>
      <c r="L29" s="234"/>
      <c r="M29" s="234"/>
      <c r="N29" s="234"/>
      <c r="O29" s="234"/>
    </row>
    <row r="30" spans="1:16" x14ac:dyDescent="0.25">
      <c r="H30" s="234"/>
      <c r="I30" s="234"/>
      <c r="J30" s="234"/>
      <c r="K30" s="234"/>
      <c r="L30" s="234"/>
      <c r="M30" s="234"/>
      <c r="N30" s="234"/>
      <c r="O30" s="234"/>
    </row>
    <row r="31" spans="1:16" x14ac:dyDescent="0.25">
      <c r="H31" s="234"/>
      <c r="I31" s="234"/>
      <c r="J31" s="234"/>
      <c r="K31" s="234"/>
      <c r="L31" s="234"/>
      <c r="M31" s="234"/>
      <c r="N31" s="234"/>
      <c r="O31" s="234"/>
    </row>
    <row r="32" spans="1:16" x14ac:dyDescent="0.25">
      <c r="H32" s="234"/>
      <c r="I32" s="234"/>
      <c r="J32" s="234"/>
      <c r="K32" s="234"/>
      <c r="L32" s="234"/>
      <c r="M32" s="234"/>
      <c r="N32" s="234"/>
      <c r="O32" s="234"/>
    </row>
    <row r="33" spans="1:50" x14ac:dyDescent="0.25">
      <c r="D33" s="391" t="s">
        <v>51</v>
      </c>
      <c r="H33" s="234"/>
      <c r="I33" s="234"/>
      <c r="J33" s="234"/>
      <c r="K33" s="234"/>
      <c r="L33" s="234"/>
      <c r="M33" s="234"/>
      <c r="N33" s="234"/>
      <c r="O33" s="234"/>
    </row>
    <row r="34" spans="1:50" x14ac:dyDescent="0.25">
      <c r="D34" s="391"/>
      <c r="H34" s="234"/>
      <c r="I34" s="234"/>
      <c r="J34" s="234"/>
      <c r="K34" s="234"/>
      <c r="L34" s="234"/>
      <c r="M34" s="234"/>
      <c r="N34" s="234"/>
      <c r="O34" s="234"/>
    </row>
    <row r="35" spans="1:50" x14ac:dyDescent="0.25">
      <c r="D35" s="391"/>
      <c r="H35" s="234"/>
      <c r="I35" s="234"/>
      <c r="J35" s="234"/>
      <c r="K35" s="234"/>
      <c r="L35" s="234"/>
      <c r="M35" s="234"/>
      <c r="N35" s="234"/>
      <c r="O35" s="234"/>
    </row>
    <row r="36" spans="1:50" x14ac:dyDescent="0.25">
      <c r="D36" s="391"/>
      <c r="H36" s="234"/>
      <c r="I36" s="234"/>
      <c r="J36" s="234"/>
      <c r="K36" s="234"/>
      <c r="L36" s="234"/>
      <c r="M36" s="234"/>
      <c r="N36" s="234"/>
      <c r="O36" s="234"/>
    </row>
    <row r="37" spans="1:50" x14ac:dyDescent="0.25">
      <c r="D37" s="391"/>
      <c r="H37" s="234"/>
      <c r="I37" s="234"/>
      <c r="J37" s="234"/>
      <c r="K37" s="234"/>
      <c r="L37" s="234"/>
      <c r="M37" s="234"/>
      <c r="N37" s="234"/>
      <c r="O37" s="234"/>
    </row>
    <row r="38" spans="1:50" x14ac:dyDescent="0.25">
      <c r="D38" s="391"/>
      <c r="H38" s="234"/>
      <c r="I38" s="234"/>
      <c r="J38" s="234"/>
      <c r="K38" s="234"/>
      <c r="L38" s="234"/>
      <c r="M38" s="234"/>
      <c r="N38" s="234"/>
      <c r="O38" s="234"/>
    </row>
    <row r="39" spans="1:50" x14ac:dyDescent="0.25">
      <c r="D39" s="391"/>
      <c r="H39" s="234"/>
      <c r="I39" s="234"/>
      <c r="J39" s="234"/>
      <c r="K39" s="234"/>
      <c r="L39" s="234"/>
      <c r="M39" s="234"/>
      <c r="N39" s="234"/>
      <c r="O39" s="234"/>
    </row>
    <row r="40" spans="1:50" ht="16.5" thickBot="1" x14ac:dyDescent="0.3">
      <c r="A40" s="32" t="s">
        <v>52</v>
      </c>
      <c r="D40" s="392"/>
    </row>
    <row r="41" spans="1:50" ht="15.75" x14ac:dyDescent="0.25">
      <c r="A41" s="73"/>
      <c r="B41" s="173"/>
      <c r="C41" s="162"/>
      <c r="D41" s="166" t="s">
        <v>53</v>
      </c>
      <c r="E41" s="166" t="s">
        <v>53</v>
      </c>
      <c r="F41" s="166" t="s">
        <v>193</v>
      </c>
      <c r="G41" s="166" t="s">
        <v>194</v>
      </c>
      <c r="H41" s="166" t="s">
        <v>301</v>
      </c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</row>
    <row r="42" spans="1:50" x14ac:dyDescent="0.25">
      <c r="A42" s="76" t="s">
        <v>54</v>
      </c>
      <c r="B42" s="174">
        <f>+HLOOKUP($B$3,$D$41:$CT$57,2,FALSE)</f>
        <v>13915.28</v>
      </c>
      <c r="C42" s="161" t="s">
        <v>54</v>
      </c>
      <c r="D42" s="167">
        <f>+template!$J$24</f>
        <v>13915.28</v>
      </c>
      <c r="E42" s="167">
        <f>+template!$J$24</f>
        <v>13915.28</v>
      </c>
      <c r="F42" s="167">
        <f>+'KW14'!$J$24</f>
        <v>13915.28</v>
      </c>
      <c r="G42" s="167">
        <f>+'KW46'!$J$24</f>
        <v>13915.28</v>
      </c>
      <c r="H42" s="167">
        <f>+'KW53'!$J$24</f>
        <v>13915.28</v>
      </c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</row>
    <row r="43" spans="1:50" x14ac:dyDescent="0.25">
      <c r="A43" s="76" t="s">
        <v>55</v>
      </c>
      <c r="B43" s="174">
        <f>+HLOOKUP($B$3,$D$41:$CT$57,3,FALSE)</f>
        <v>1250</v>
      </c>
      <c r="C43" s="161" t="s">
        <v>55</v>
      </c>
      <c r="D43" s="167">
        <f>+template!$D$24+template!$F$24</f>
        <v>1250</v>
      </c>
      <c r="E43" s="167">
        <f>+template!$D$24+template!$F$24</f>
        <v>1250</v>
      </c>
      <c r="F43" s="167">
        <f>+'KW14'!$D$24+'KW14'!$F$24</f>
        <v>1250</v>
      </c>
      <c r="G43" s="167">
        <f>+'KW46'!$D$24+'KW46'!$F$24</f>
        <v>1250</v>
      </c>
      <c r="H43" s="167">
        <f>+'KW53'!$D$24+'KW53'!$F$24</f>
        <v>1250</v>
      </c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</row>
    <row r="44" spans="1:50" x14ac:dyDescent="0.25">
      <c r="A44" s="76" t="s">
        <v>56</v>
      </c>
      <c r="B44" s="174">
        <f>+HLOOKUP($B$3,$D$41:$CT$57,4,FALSE)</f>
        <v>2096.5</v>
      </c>
      <c r="C44" s="161" t="s">
        <v>56</v>
      </c>
      <c r="D44" s="167">
        <f>+template!$H$24</f>
        <v>2096.5</v>
      </c>
      <c r="E44" s="167">
        <f>+template!$H$24</f>
        <v>2096.5</v>
      </c>
      <c r="F44" s="167">
        <f>+'KW14'!$H$24</f>
        <v>2096.5</v>
      </c>
      <c r="G44" s="167">
        <f>+'KW46'!$H$24</f>
        <v>2096.5</v>
      </c>
      <c r="H44" s="167">
        <f>+'KW53'!$H$24</f>
        <v>2096.5</v>
      </c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</row>
    <row r="45" spans="1:50" x14ac:dyDescent="0.25">
      <c r="A45" s="76" t="s">
        <v>57</v>
      </c>
      <c r="B45" s="174">
        <f>+HLOOKUP($B$3,$D$41:$CT$57,5,FALSE)</f>
        <v>10568.78</v>
      </c>
      <c r="C45" s="161" t="s">
        <v>57</v>
      </c>
      <c r="D45" s="168">
        <f>+template!$I$24</f>
        <v>10568.78</v>
      </c>
      <c r="E45" s="168">
        <f>+template!$I$24</f>
        <v>10568.78</v>
      </c>
      <c r="F45" s="168">
        <f>+'KW14'!$I$24</f>
        <v>10568.78</v>
      </c>
      <c r="G45" s="168">
        <f>+'KW46'!$I$24</f>
        <v>10568.78</v>
      </c>
      <c r="H45" s="168">
        <f>+'KW53'!$I$24</f>
        <v>10568.78</v>
      </c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</row>
    <row r="46" spans="1:50" x14ac:dyDescent="0.25">
      <c r="A46" s="74"/>
      <c r="B46" s="175"/>
      <c r="C46" s="15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</row>
    <row r="47" spans="1:50" x14ac:dyDescent="0.25">
      <c r="A47" s="77" t="s">
        <v>58</v>
      </c>
      <c r="B47" s="176">
        <f>+HLOOKUP($B$3,$D$41:$CT$57,7,FALSE)</f>
        <v>0.46429654072485282</v>
      </c>
      <c r="C47" s="159" t="s">
        <v>58</v>
      </c>
      <c r="D47" s="170">
        <f>+template!$I$4</f>
        <v>0.46429654072485282</v>
      </c>
      <c r="E47" s="170">
        <f>+template!$I$4</f>
        <v>0.46429654072485282</v>
      </c>
      <c r="F47" s="170">
        <f>+'KW14'!$I$4</f>
        <v>0.46429654072485282</v>
      </c>
      <c r="G47" s="170">
        <f>+'KW46'!$I$4</f>
        <v>0.46429654072485282</v>
      </c>
      <c r="H47" s="170">
        <f>+'KW53'!$I$4</f>
        <v>0.46429654072485282</v>
      </c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</row>
    <row r="48" spans="1:50" x14ac:dyDescent="0.25">
      <c r="A48" s="77" t="s">
        <v>59</v>
      </c>
      <c r="B48" s="176">
        <f>+HLOOKUP($B$3,$D$41:$CT$57,8,FALSE)</f>
        <v>0.81863686795358304</v>
      </c>
      <c r="C48" s="159" t="s">
        <v>59</v>
      </c>
      <c r="D48" s="170">
        <f>+template!$E$233</f>
        <v>1</v>
      </c>
      <c r="E48" s="170">
        <f>+template!$E$233</f>
        <v>1</v>
      </c>
      <c r="F48" s="170">
        <f>+'KW14'!$E$233</f>
        <v>0.46103503272287299</v>
      </c>
      <c r="G48" s="170">
        <f>+'KW46'!$E$233</f>
        <v>0.57573327228730131</v>
      </c>
      <c r="H48" s="170">
        <f>+'KW53'!$E$233</f>
        <v>0.81863686795358304</v>
      </c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</row>
    <row r="49" spans="1:50" x14ac:dyDescent="0.25">
      <c r="A49" s="75"/>
      <c r="B49" s="175"/>
      <c r="C49" s="15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</row>
    <row r="50" spans="1:50" x14ac:dyDescent="0.25">
      <c r="A50" s="77" t="s">
        <v>60</v>
      </c>
      <c r="B50" s="177">
        <f>+HLOOKUP($B$3,$D$41:$CT$57,10,FALSE)</f>
        <v>13915.28</v>
      </c>
      <c r="C50" s="159" t="s">
        <v>60</v>
      </c>
      <c r="D50" s="171">
        <f>+template!$C$225</f>
        <v>13915.28</v>
      </c>
      <c r="E50" s="171">
        <f>+template!$C$225</f>
        <v>13915.28</v>
      </c>
      <c r="F50" s="171">
        <f>+'KW14'!$C$225</f>
        <v>13915.28</v>
      </c>
      <c r="G50" s="171">
        <f>+'KW46'!$C$225</f>
        <v>13915.28</v>
      </c>
      <c r="H50" s="171">
        <f>+'KW53'!$C$225</f>
        <v>13915.28</v>
      </c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</row>
    <row r="51" spans="1:50" x14ac:dyDescent="0.25">
      <c r="A51" s="77" t="s">
        <v>61</v>
      </c>
      <c r="B51" s="177">
        <f>+HLOOKUP($B$3,$D$41:$CT$57,11,FALSE)</f>
        <v>3070.1177999999991</v>
      </c>
      <c r="C51" s="159" t="s">
        <v>61</v>
      </c>
      <c r="D51" s="171">
        <f>+template!$D$225</f>
        <v>0</v>
      </c>
      <c r="E51" s="171">
        <f>+template!$D$225</f>
        <v>0</v>
      </c>
      <c r="F51" s="171">
        <f>+'KW14'!$D$225</f>
        <v>0</v>
      </c>
      <c r="G51" s="171">
        <f>+'KW46'!$D$225</f>
        <v>5136.6453000000001</v>
      </c>
      <c r="H51" s="171">
        <f>+'KW53'!$D$225</f>
        <v>3070.1177999999991</v>
      </c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</row>
    <row r="52" spans="1:50" x14ac:dyDescent="0.25">
      <c r="A52" s="75"/>
      <c r="B52" s="175"/>
      <c r="C52" s="15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</row>
    <row r="53" spans="1:50" x14ac:dyDescent="0.25">
      <c r="A53" s="78" t="s">
        <v>62</v>
      </c>
      <c r="B53" s="174"/>
      <c r="C53" s="159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</row>
    <row r="54" spans="1:50" x14ac:dyDescent="0.25">
      <c r="A54" s="77" t="s">
        <v>63</v>
      </c>
      <c r="B54" s="177">
        <f>+HLOOKUP($B$3,$D$41:$CT$57,14,FALSE)</f>
        <v>13915.28</v>
      </c>
      <c r="C54" s="159" t="s">
        <v>63</v>
      </c>
      <c r="D54" s="171">
        <f>+template!$C$230</f>
        <v>13915.28</v>
      </c>
      <c r="E54" s="171">
        <f>+template!$C$230</f>
        <v>13915.28</v>
      </c>
      <c r="F54" s="171">
        <f>+'KW14'!$C$230</f>
        <v>13915.28</v>
      </c>
      <c r="G54" s="171">
        <f>+'KW46'!$C$230</f>
        <v>13915.28</v>
      </c>
      <c r="H54" s="171">
        <f>+'KW53'!$C$230</f>
        <v>13915.28</v>
      </c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</row>
    <row r="55" spans="1:50" x14ac:dyDescent="0.25">
      <c r="A55" s="77" t="s">
        <v>64</v>
      </c>
      <c r="B55" s="177">
        <f>+HLOOKUP($B$3,$D$41:$CT$57,15,FALSE)</f>
        <v>4711.0368999999992</v>
      </c>
      <c r="C55" s="159" t="s">
        <v>64</v>
      </c>
      <c r="D55" s="171">
        <f>+template!$D$230</f>
        <v>0</v>
      </c>
      <c r="E55" s="171">
        <f>+template!$D$230</f>
        <v>0</v>
      </c>
      <c r="F55" s="171">
        <f>+'KW14'!$D$230</f>
        <v>14000</v>
      </c>
      <c r="G55" s="171">
        <f>+'KW46'!$D$230</f>
        <v>11020.631299999999</v>
      </c>
      <c r="H55" s="171">
        <f>+'KW53'!$D$230</f>
        <v>4711.0368999999992</v>
      </c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</row>
    <row r="56" spans="1:50" x14ac:dyDescent="0.25">
      <c r="A56" s="77" t="s">
        <v>65</v>
      </c>
      <c r="B56" s="177">
        <f>+HLOOKUP($B$3,$D$41:$CT$57,16,FALSE)</f>
        <v>1640.9190999999998</v>
      </c>
      <c r="C56" s="159" t="s">
        <v>65</v>
      </c>
      <c r="D56" s="171">
        <f>+SUM(template!$D$226:$D$229)</f>
        <v>0</v>
      </c>
      <c r="E56" s="171">
        <f>+SUM(template!$D$226:$D$229)</f>
        <v>0</v>
      </c>
      <c r="F56" s="171">
        <f>+SUM('KW14'!$D$226:$D$229)</f>
        <v>14000</v>
      </c>
      <c r="G56" s="171">
        <f>+SUM('KW46'!$D$226:$D$229)</f>
        <v>5883.985999999999</v>
      </c>
      <c r="H56" s="171">
        <f>+SUM('KW53'!$D$226:$D$229)</f>
        <v>1640.9190999999998</v>
      </c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</row>
    <row r="57" spans="1:50" ht="15.75" thickBot="1" x14ac:dyDescent="0.3">
      <c r="A57" s="79" t="s">
        <v>66</v>
      </c>
      <c r="B57" s="178">
        <f>+HLOOKUP($B$3,$D$41:$CT$57,17,FALSE)</f>
        <v>9204.2431000000015</v>
      </c>
      <c r="C57" s="159" t="s">
        <v>66</v>
      </c>
      <c r="D57" s="171">
        <f>+template!$E$230</f>
        <v>13915.28</v>
      </c>
      <c r="E57" s="171">
        <f>+template!$E$230</f>
        <v>13915.28</v>
      </c>
      <c r="F57" s="171">
        <f>+'KW14'!$E$230</f>
        <v>-84.719999999999345</v>
      </c>
      <c r="G57" s="171">
        <f>+'KW46'!$E$230</f>
        <v>2894.6487000000016</v>
      </c>
      <c r="H57" s="171">
        <f>+'KW53'!$E$230</f>
        <v>9204.2431000000015</v>
      </c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</row>
    <row r="58" spans="1:50" x14ac:dyDescent="0.25">
      <c r="A58" s="163"/>
      <c r="B58" s="177"/>
      <c r="C58" s="159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</row>
    <row r="59" spans="1:50" ht="15.75" thickBot="1" x14ac:dyDescent="0.3">
      <c r="A59" s="163" t="s">
        <v>67</v>
      </c>
      <c r="B59" s="178">
        <f>+HLOOKUP($B$3,$D$41:$CT$66,19,FALSE)</f>
        <v>10568.78</v>
      </c>
      <c r="C59" s="159" t="s">
        <v>67</v>
      </c>
      <c r="D59" s="171">
        <f>+template!$I$24</f>
        <v>10568.78</v>
      </c>
      <c r="E59" s="171">
        <f>+template!$I$24</f>
        <v>10568.78</v>
      </c>
      <c r="F59" s="171">
        <f>+'KW14'!$I$24</f>
        <v>10568.78</v>
      </c>
      <c r="G59" s="171">
        <f>+'KW46'!$I$24</f>
        <v>10568.78</v>
      </c>
      <c r="H59" s="171">
        <f>+'KW53'!$I$24</f>
        <v>10568.78</v>
      </c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</row>
    <row r="60" spans="1:50" ht="15.75" thickBot="1" x14ac:dyDescent="0.3">
      <c r="A60" s="163" t="s">
        <v>68</v>
      </c>
      <c r="B60" s="178">
        <f>+HLOOKUP($B$3,$D$41:$CT$66,20,FALSE)</f>
        <v>-7905.5862999999999</v>
      </c>
      <c r="C60" s="159" t="s">
        <v>68</v>
      </c>
      <c r="D60" s="171">
        <f>+template!$D$220</f>
        <v>0</v>
      </c>
      <c r="E60" s="171">
        <f>+template!$D$220</f>
        <v>0</v>
      </c>
      <c r="F60" s="171">
        <f>+'KW14'!$D$220</f>
        <v>0</v>
      </c>
      <c r="G60" s="171">
        <f>+'KW46'!$D$220</f>
        <v>2184.7809999999999</v>
      </c>
      <c r="H60" s="171">
        <f>+'KW53'!$D$220</f>
        <v>-7905.5862999999999</v>
      </c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</row>
    <row r="61" spans="1:50" ht="15.75" thickBot="1" x14ac:dyDescent="0.3">
      <c r="A61" s="163" t="s">
        <v>69</v>
      </c>
      <c r="B61" s="178">
        <f>+HLOOKUP($B$3,$D$41:$CT$66,21,FALSE)</f>
        <v>2096.5</v>
      </c>
      <c r="C61" s="159" t="s">
        <v>69</v>
      </c>
      <c r="D61" s="171">
        <f>+template!$H$24</f>
        <v>2096.5</v>
      </c>
      <c r="E61" s="171">
        <f>+template!$H$24</f>
        <v>2096.5</v>
      </c>
      <c r="F61" s="171">
        <f>+'KW14'!$H$24</f>
        <v>2096.5</v>
      </c>
      <c r="G61" s="171">
        <f>+'KW46'!$H$24</f>
        <v>2096.5</v>
      </c>
      <c r="H61" s="171">
        <f>+'KW53'!$H$24</f>
        <v>2096.5</v>
      </c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</row>
    <row r="62" spans="1:50" ht="15.75" thickBot="1" x14ac:dyDescent="0.3">
      <c r="A62" s="163" t="s">
        <v>70</v>
      </c>
      <c r="B62" s="178">
        <f>+HLOOKUP($B$3,$D$41:$CT$66,22,FALSE)</f>
        <v>9239.954099999999</v>
      </c>
      <c r="C62" s="159" t="s">
        <v>70</v>
      </c>
      <c r="D62" s="171">
        <f>+SUM(template!$D$221)</f>
        <v>0</v>
      </c>
      <c r="E62" s="171">
        <f>+SUM(template!$D$221)</f>
        <v>0</v>
      </c>
      <c r="F62" s="171">
        <f>+SUM('KW14'!$D$221)</f>
        <v>0</v>
      </c>
      <c r="G62" s="171">
        <f>+SUM('KW46'!$D$221)</f>
        <v>1216.1143000000002</v>
      </c>
      <c r="H62" s="171">
        <f>+SUM('KW53'!$D$221)</f>
        <v>9239.954099999999</v>
      </c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</row>
    <row r="63" spans="1:50" ht="15.75" thickBot="1" x14ac:dyDescent="0.3">
      <c r="A63" s="163" t="s">
        <v>71</v>
      </c>
      <c r="B63" s="178">
        <f>+HLOOKUP($B$3,$D$41:$CT$66,23,FALSE)</f>
        <v>250</v>
      </c>
      <c r="C63" s="159" t="s">
        <v>71</v>
      </c>
      <c r="D63" s="171">
        <f>+template!$D$24</f>
        <v>250</v>
      </c>
      <c r="E63" s="171">
        <f>+template!$D$24</f>
        <v>250</v>
      </c>
      <c r="F63" s="171">
        <f>+'KW14'!$D$24</f>
        <v>250</v>
      </c>
      <c r="G63" s="171">
        <f>+'KW46'!$D$24</f>
        <v>250</v>
      </c>
      <c r="H63" s="171">
        <f>+'KW53'!$D$24</f>
        <v>250</v>
      </c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</row>
    <row r="64" spans="1:50" ht="15.75" thickBot="1" x14ac:dyDescent="0.3">
      <c r="A64" s="163" t="s">
        <v>72</v>
      </c>
      <c r="B64" s="178">
        <f>+HLOOKUP($B$3,$D$41:$CT$66,24,FALSE)</f>
        <v>0</v>
      </c>
      <c r="C64" s="159" t="s">
        <v>72</v>
      </c>
      <c r="D64" s="171">
        <f>+template!$C$29</f>
        <v>0</v>
      </c>
      <c r="E64" s="171">
        <f>+template!$C$29</f>
        <v>0</v>
      </c>
      <c r="F64" s="171">
        <f>+'KW14'!$C$29</f>
        <v>0</v>
      </c>
      <c r="G64" s="171">
        <f>+'KW46'!$C$29</f>
        <v>0</v>
      </c>
      <c r="H64" s="171">
        <f>+'KW53'!$C$29</f>
        <v>0</v>
      </c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</row>
    <row r="65" spans="1:50" ht="15.75" thickBot="1" x14ac:dyDescent="0.3">
      <c r="A65" s="163" t="s">
        <v>73</v>
      </c>
      <c r="B65" s="178">
        <f>+HLOOKUP($B$3,$D$41:$CT$66,25,FALSE)</f>
        <v>1000</v>
      </c>
      <c r="C65" s="159" t="s">
        <v>73</v>
      </c>
      <c r="D65" s="171">
        <f>+template!$F$24</f>
        <v>1000</v>
      </c>
      <c r="E65" s="171">
        <f>+template!$F$24</f>
        <v>1000</v>
      </c>
      <c r="F65" s="171">
        <f>+'KW14'!$F$24</f>
        <v>1000</v>
      </c>
      <c r="G65" s="171">
        <f>+'KW46'!$F$24</f>
        <v>1000</v>
      </c>
      <c r="H65" s="171">
        <f>+'KW53'!$F$24</f>
        <v>1000</v>
      </c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</row>
    <row r="66" spans="1:50" ht="15.75" thickBot="1" x14ac:dyDescent="0.3">
      <c r="A66" s="164" t="s">
        <v>74</v>
      </c>
      <c r="B66" s="178">
        <f>+HLOOKUP($B$3,$D$41:$CT$66,26,FALSE)</f>
        <v>1735.75</v>
      </c>
      <c r="C66" s="165" t="s">
        <v>74</v>
      </c>
      <c r="D66" s="172">
        <f>+template!$E$29</f>
        <v>0</v>
      </c>
      <c r="E66" s="172">
        <f>+template!$E$29</f>
        <v>0</v>
      </c>
      <c r="F66" s="172">
        <f>+'KW14'!$E$29</f>
        <v>0</v>
      </c>
      <c r="G66" s="172">
        <f>+'KW46'!$E$29</f>
        <v>1735.75</v>
      </c>
      <c r="H66" s="172">
        <f>+'KW53'!$E$29</f>
        <v>1735.75</v>
      </c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</row>
    <row r="67" spans="1:50" x14ac:dyDescent="0.25">
      <c r="B67" s="156"/>
    </row>
    <row r="69" spans="1:50" x14ac:dyDescent="0.25">
      <c r="B69" s="157"/>
      <c r="D69" s="156"/>
      <c r="E69" s="156"/>
      <c r="F69" s="156"/>
      <c r="G69" s="156"/>
      <c r="H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 spans="1:50" x14ac:dyDescent="0.25">
      <c r="D70" s="156"/>
      <c r="E70" s="156"/>
      <c r="F70" s="156"/>
      <c r="G70" s="156"/>
      <c r="H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spans="1:50" x14ac:dyDescent="0.25">
      <c r="B71" s="156"/>
      <c r="D71" s="156"/>
      <c r="E71" s="156"/>
      <c r="F71" s="156"/>
      <c r="G71" s="156"/>
      <c r="H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 spans="1:50" x14ac:dyDescent="0.25">
      <c r="D72" s="157"/>
      <c r="E72" s="157"/>
      <c r="F72" s="157"/>
      <c r="G72" s="157"/>
      <c r="H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 spans="1:50" x14ac:dyDescent="0.25">
      <c r="B73" s="156"/>
    </row>
    <row r="74" spans="1:50" x14ac:dyDescent="0.25">
      <c r="B74" s="156"/>
      <c r="D74" s="156"/>
    </row>
    <row r="75" spans="1:50" x14ac:dyDescent="0.25">
      <c r="I75" s="333" t="s">
        <v>75</v>
      </c>
    </row>
    <row r="76" spans="1:50" x14ac:dyDescent="0.25">
      <c r="I76" s="363"/>
      <c r="J76" s="364" t="s">
        <v>76</v>
      </c>
      <c r="K76" s="365" t="s">
        <v>77</v>
      </c>
    </row>
    <row r="77" spans="1:50" x14ac:dyDescent="0.25">
      <c r="I77" s="366" t="s">
        <v>78</v>
      </c>
      <c r="J77" s="367">
        <f>B54</f>
        <v>13915.28</v>
      </c>
      <c r="K77" s="368">
        <f>B55</f>
        <v>4711.0368999999992</v>
      </c>
    </row>
    <row r="78" spans="1:50" x14ac:dyDescent="0.25">
      <c r="I78" s="366" t="s">
        <v>57</v>
      </c>
      <c r="J78" s="367">
        <f>B59</f>
        <v>10568.78</v>
      </c>
      <c r="K78" s="368">
        <f>B60</f>
        <v>-7905.5862999999999</v>
      </c>
    </row>
    <row r="79" spans="1:50" x14ac:dyDescent="0.25">
      <c r="I79" s="369" t="s">
        <v>56</v>
      </c>
      <c r="J79" s="370">
        <f>B61</f>
        <v>2096.5</v>
      </c>
      <c r="K79" s="371">
        <f>B62</f>
        <v>9239.954099999999</v>
      </c>
    </row>
    <row r="80" spans="1:50" ht="15.75" customHeight="1" x14ac:dyDescent="0.25">
      <c r="I80" s="369" t="s">
        <v>55</v>
      </c>
      <c r="J80" s="370">
        <f>B63</f>
        <v>250</v>
      </c>
      <c r="K80" s="371">
        <f>B64</f>
        <v>0</v>
      </c>
    </row>
    <row r="81" spans="9:11" x14ac:dyDescent="0.25">
      <c r="I81" s="369" t="s">
        <v>79</v>
      </c>
      <c r="J81" s="370">
        <f>B65</f>
        <v>1000</v>
      </c>
      <c r="K81" s="371">
        <f>B66</f>
        <v>1735.75</v>
      </c>
    </row>
    <row r="82" spans="9:11" x14ac:dyDescent="0.25">
      <c r="I82" s="369" t="s">
        <v>80</v>
      </c>
      <c r="J82" s="157">
        <f>B47</f>
        <v>0.46429654072485282</v>
      </c>
      <c r="K82" s="372">
        <f>B48</f>
        <v>0.81863686795358304</v>
      </c>
    </row>
    <row r="83" spans="9:11" x14ac:dyDescent="0.25">
      <c r="I83" s="373" t="s">
        <v>81</v>
      </c>
      <c r="J83" s="374"/>
      <c r="K83" s="375">
        <f>F11-K77</f>
        <v>22563.463100000001</v>
      </c>
    </row>
    <row r="84" spans="9:11" x14ac:dyDescent="0.25">
      <c r="I84" s="376" t="s">
        <v>82</v>
      </c>
      <c r="J84" s="377"/>
      <c r="K84" s="378"/>
    </row>
    <row r="85" spans="9:11" x14ac:dyDescent="0.25">
      <c r="I85" s="369" t="s">
        <v>83</v>
      </c>
      <c r="K85" s="379"/>
    </row>
    <row r="86" spans="9:11" x14ac:dyDescent="0.25">
      <c r="I86" s="369" t="s">
        <v>84</v>
      </c>
      <c r="K86" s="379"/>
    </row>
    <row r="87" spans="9:11" x14ac:dyDescent="0.25">
      <c r="I87" s="373" t="s">
        <v>85</v>
      </c>
      <c r="J87" s="374"/>
      <c r="K87" s="380"/>
    </row>
    <row r="88" spans="9:11" x14ac:dyDescent="0.25">
      <c r="I88" s="376" t="s">
        <v>86</v>
      </c>
      <c r="J88" s="377"/>
      <c r="K88" s="378"/>
    </row>
    <row r="89" spans="9:11" x14ac:dyDescent="0.25">
      <c r="I89" s="373" t="s">
        <v>87</v>
      </c>
      <c r="J89" s="374"/>
      <c r="K89" s="380"/>
    </row>
  </sheetData>
  <protectedRanges>
    <protectedRange sqref="B3 B16:C16 B21:I21 H15:J16" name="Bereich1"/>
    <protectedRange sqref="J5:J14" name="Bereich1_1"/>
    <protectedRange sqref="O21" name="Bereich1_2"/>
    <protectedRange sqref="K5:L10 M4:M26" name="Bereich1_1_1_1"/>
    <protectedRange sqref="B5:E14" name="Bereich1_3"/>
    <protectedRange sqref="B15:C15" name="Bereich1_4"/>
    <protectedRange sqref="B18:I20" name="Bereich1_5"/>
  </protectedRanges>
  <mergeCells count="43">
    <mergeCell ref="B19:I19"/>
    <mergeCell ref="F1:J1"/>
    <mergeCell ref="B5:E5"/>
    <mergeCell ref="B9:E9"/>
    <mergeCell ref="K14:L14"/>
    <mergeCell ref="K15:L15"/>
    <mergeCell ref="K5:L5"/>
    <mergeCell ref="K6:L6"/>
    <mergeCell ref="K7:L7"/>
    <mergeCell ref="K8:L8"/>
    <mergeCell ref="K9:L9"/>
    <mergeCell ref="K10:L10"/>
    <mergeCell ref="K11:L11"/>
    <mergeCell ref="D33:D40"/>
    <mergeCell ref="B22:C22"/>
    <mergeCell ref="B16:C16"/>
    <mergeCell ref="B6:E6"/>
    <mergeCell ref="B7:E7"/>
    <mergeCell ref="B15:C15"/>
    <mergeCell ref="B17:C17"/>
    <mergeCell ref="B8:E8"/>
    <mergeCell ref="B12:E12"/>
    <mergeCell ref="B20:I20"/>
    <mergeCell ref="B14:E14"/>
    <mergeCell ref="H15:I15"/>
    <mergeCell ref="B21:I21"/>
    <mergeCell ref="B13:E13"/>
    <mergeCell ref="H16:I16"/>
    <mergeCell ref="B18:I18"/>
    <mergeCell ref="K27:L27"/>
    <mergeCell ref="K12:L12"/>
    <mergeCell ref="K13:L13"/>
    <mergeCell ref="K21:L21"/>
    <mergeCell ref="K20:L20"/>
    <mergeCell ref="K23:L23"/>
    <mergeCell ref="K22:L22"/>
    <mergeCell ref="K19:L19"/>
    <mergeCell ref="K18:L18"/>
    <mergeCell ref="K24:L24"/>
    <mergeCell ref="K25:L25"/>
    <mergeCell ref="K26:L26"/>
    <mergeCell ref="K16:L16"/>
    <mergeCell ref="K17:L17"/>
  </mergeCells>
  <conditionalFormatting sqref="N5:N26">
    <cfRule type="cellIs" dxfId="72" priority="23" operator="greaterThan">
      <formula>$M$5</formula>
    </cfRule>
  </conditionalFormatting>
  <conditionalFormatting sqref="N27">
    <cfRule type="cellIs" dxfId="71" priority="1" operator="greaterThan">
      <formula>$M$27</formula>
    </cfRule>
  </conditionalFormatting>
  <hyperlinks>
    <hyperlink ref="F1:J1" r:id="rId1" display="Für Datenabfragen bitte PVCS PM Controlling AddIn installieren" xr:uid="{FB052164-CEB6-4E94-A968-97A5C34AD9D1}"/>
  </hyperlinks>
  <pageMargins left="0.7" right="0.7" top="0.78740157499999996" bottom="0.78740157499999996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C34-D22B-402E-9473-6E91C219EB6B}">
  <sheetPr codeName="Tabelle3"/>
  <dimension ref="A1:P55"/>
  <sheetViews>
    <sheetView zoomScale="115" zoomScaleNormal="115" workbookViewId="0">
      <selection activeCell="C14" sqref="C14:E14"/>
    </sheetView>
  </sheetViews>
  <sheetFormatPr baseColWidth="10" defaultColWidth="11.42578125" defaultRowHeight="15" x14ac:dyDescent="0.25"/>
  <cols>
    <col min="1" max="16" width="5.7109375" customWidth="1"/>
  </cols>
  <sheetData>
    <row r="1" spans="1:16" ht="15.75" thickBot="1" x14ac:dyDescent="0.3">
      <c r="A1" s="328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</row>
    <row r="2" spans="1:16" ht="15" customHeight="1" x14ac:dyDescent="0.25">
      <c r="A2" s="446" t="str">
        <f>"Projektabschluss "&amp;Info!B6</f>
        <v>Projektabschluss P47551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</row>
    <row r="3" spans="1:16" ht="1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</row>
    <row r="4" spans="1:16" x14ac:dyDescent="0.25">
      <c r="A4" s="447" t="str">
        <f>Info!B8</f>
        <v>horizontal vacuum chamber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</row>
    <row r="5" spans="1:16" ht="15.75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 ht="15.75" thickBot="1" x14ac:dyDescent="0.3">
      <c r="A6" s="329"/>
      <c r="B6" s="329"/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</row>
    <row r="7" spans="1:16" x14ac:dyDescent="0.25">
      <c r="A7" s="2"/>
      <c r="B7" s="2"/>
      <c r="C7" s="2"/>
      <c r="D7" s="2"/>
      <c r="E7" s="2"/>
      <c r="F7" s="2"/>
      <c r="G7" s="431"/>
      <c r="H7" s="431"/>
      <c r="I7" s="431"/>
      <c r="J7" s="431"/>
      <c r="K7" s="431"/>
      <c r="L7" s="431"/>
      <c r="M7" s="431"/>
      <c r="N7" s="431"/>
      <c r="O7" s="431"/>
      <c r="P7" s="431"/>
    </row>
    <row r="8" spans="1:16" x14ac:dyDescent="0.25">
      <c r="G8" s="431"/>
      <c r="H8" s="431"/>
      <c r="I8" s="431"/>
      <c r="J8" s="431"/>
      <c r="K8" s="431"/>
      <c r="L8" s="431"/>
      <c r="M8" s="431"/>
      <c r="N8" s="431"/>
      <c r="O8" s="431"/>
      <c r="P8" s="431"/>
    </row>
    <row r="9" spans="1:16" x14ac:dyDescent="0.25">
      <c r="A9" s="330" t="s">
        <v>12</v>
      </c>
      <c r="B9" s="330"/>
      <c r="C9" s="445" t="str">
        <f>Info!B7</f>
        <v>PFEIFFER BENELUX</v>
      </c>
      <c r="D9" s="445"/>
      <c r="E9" s="445"/>
      <c r="F9" s="445"/>
      <c r="G9" s="431"/>
      <c r="H9" s="431"/>
      <c r="I9" s="431"/>
      <c r="J9" s="431"/>
      <c r="K9" s="431"/>
      <c r="L9" s="431"/>
      <c r="M9" s="431"/>
      <c r="N9" s="431"/>
      <c r="O9" s="431"/>
      <c r="P9" s="431"/>
    </row>
    <row r="10" spans="1:16" x14ac:dyDescent="0.25">
      <c r="A10" s="330" t="s">
        <v>88</v>
      </c>
      <c r="B10" s="330"/>
      <c r="C10" s="445"/>
      <c r="D10" s="445"/>
      <c r="E10" s="445"/>
      <c r="F10" s="356"/>
      <c r="G10" s="431"/>
      <c r="H10" s="431"/>
      <c r="I10" s="431"/>
      <c r="J10" s="431"/>
      <c r="K10" s="431"/>
      <c r="L10" s="431"/>
      <c r="M10" s="431"/>
      <c r="N10" s="431"/>
      <c r="O10" s="431"/>
      <c r="P10" s="431"/>
    </row>
    <row r="11" spans="1:16" x14ac:dyDescent="0.25">
      <c r="A11" s="330" t="s">
        <v>16</v>
      </c>
      <c r="B11" s="330"/>
      <c r="C11" s="449">
        <f>Info!F11</f>
        <v>27274.5</v>
      </c>
      <c r="D11" s="449"/>
      <c r="E11" s="449"/>
      <c r="F11" s="3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</row>
    <row r="12" spans="1:16" x14ac:dyDescent="0.25">
      <c r="A12" s="330" t="s">
        <v>89</v>
      </c>
      <c r="B12" s="330"/>
      <c r="C12" s="332" t="s">
        <v>20</v>
      </c>
      <c r="D12" s="332" t="s">
        <v>21</v>
      </c>
      <c r="E12" s="332" t="s">
        <v>22</v>
      </c>
      <c r="F12" s="3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</row>
    <row r="13" spans="1:16" x14ac:dyDescent="0.25">
      <c r="A13" s="450" t="s">
        <v>90</v>
      </c>
      <c r="B13" s="450"/>
      <c r="C13" s="451"/>
      <c r="D13" s="451"/>
      <c r="E13" s="451"/>
      <c r="G13" s="431"/>
      <c r="H13" s="431"/>
      <c r="I13" s="431"/>
      <c r="J13" s="431"/>
      <c r="K13" s="431"/>
      <c r="L13" s="431"/>
      <c r="M13" s="431"/>
      <c r="N13" s="431"/>
      <c r="O13" s="431"/>
      <c r="P13" s="431"/>
    </row>
    <row r="14" spans="1:16" x14ac:dyDescent="0.25">
      <c r="A14" s="450" t="s">
        <v>91</v>
      </c>
      <c r="B14" s="450"/>
      <c r="C14" s="451"/>
      <c r="D14" s="451"/>
      <c r="E14" s="451"/>
      <c r="F14" s="3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</row>
    <row r="15" spans="1:16" x14ac:dyDescent="0.25">
      <c r="A15" s="333"/>
      <c r="B15" s="333"/>
      <c r="C15" s="333"/>
      <c r="D15" s="333"/>
      <c r="E15" s="333"/>
      <c r="F15" s="333"/>
      <c r="G15" s="431"/>
      <c r="H15" s="431"/>
      <c r="I15" s="431"/>
      <c r="J15" s="431"/>
      <c r="K15" s="431"/>
      <c r="L15" s="431"/>
      <c r="M15" s="431"/>
      <c r="N15" s="431"/>
      <c r="O15" s="431"/>
      <c r="P15" s="431"/>
    </row>
    <row r="16" spans="1:16" x14ac:dyDescent="0.25">
      <c r="A16" s="333"/>
      <c r="B16" s="333"/>
      <c r="C16" s="157"/>
      <c r="D16" s="157"/>
      <c r="E16" s="157"/>
      <c r="G16" s="431"/>
      <c r="H16" s="431"/>
      <c r="I16" s="431"/>
      <c r="J16" s="431"/>
      <c r="K16" s="431"/>
      <c r="L16" s="431"/>
      <c r="M16" s="431"/>
      <c r="N16" s="431"/>
      <c r="O16" s="431"/>
      <c r="P16" s="431"/>
    </row>
    <row r="17" spans="1:16" x14ac:dyDescent="0.25">
      <c r="A17" s="450" t="s">
        <v>92</v>
      </c>
      <c r="B17" s="450"/>
      <c r="C17" s="452">
        <f>Info!J82</f>
        <v>0.46429654072485282</v>
      </c>
      <c r="D17" s="452"/>
      <c r="E17" s="452"/>
      <c r="G17" s="431"/>
      <c r="H17" s="431"/>
      <c r="I17" s="431"/>
      <c r="J17" s="431"/>
      <c r="K17" s="431"/>
      <c r="L17" s="431"/>
      <c r="M17" s="431"/>
      <c r="N17" s="431"/>
      <c r="O17" s="431"/>
      <c r="P17" s="431"/>
    </row>
    <row r="18" spans="1:16" x14ac:dyDescent="0.25">
      <c r="A18" s="330" t="s">
        <v>59</v>
      </c>
      <c r="B18" s="330"/>
      <c r="C18" s="453">
        <f>Info!K82</f>
        <v>0.81863686795358304</v>
      </c>
      <c r="D18" s="453"/>
      <c r="E18" s="453"/>
      <c r="F18" s="331"/>
      <c r="G18" s="431"/>
      <c r="H18" s="431"/>
      <c r="I18" s="431"/>
      <c r="J18" s="431"/>
      <c r="K18" s="431"/>
      <c r="L18" s="431"/>
      <c r="M18" s="431"/>
      <c r="N18" s="431"/>
      <c r="O18" s="431"/>
      <c r="P18" s="431"/>
    </row>
    <row r="19" spans="1:16" x14ac:dyDescent="0.25">
      <c r="A19" s="330" t="s">
        <v>59</v>
      </c>
      <c r="B19" s="330"/>
      <c r="C19" s="443">
        <f>Info!K83</f>
        <v>22563.463100000001</v>
      </c>
      <c r="D19" s="444"/>
      <c r="E19" s="444"/>
      <c r="F19" s="331"/>
      <c r="G19" s="431"/>
      <c r="H19" s="431"/>
      <c r="I19" s="431"/>
      <c r="J19" s="431"/>
      <c r="K19" s="431"/>
      <c r="L19" s="431"/>
      <c r="M19" s="431"/>
      <c r="N19" s="431"/>
      <c r="O19" s="431"/>
      <c r="P19" s="431"/>
    </row>
    <row r="20" spans="1:16" x14ac:dyDescent="0.25">
      <c r="A20" s="333" t="s">
        <v>93</v>
      </c>
      <c r="B20" s="333"/>
      <c r="C20" s="451"/>
      <c r="D20" s="451"/>
      <c r="E20" s="451"/>
      <c r="G20" s="431"/>
      <c r="H20" s="431"/>
      <c r="I20" s="431"/>
      <c r="J20" s="431"/>
      <c r="K20" s="431"/>
      <c r="L20" s="431"/>
      <c r="M20" s="431"/>
      <c r="N20" s="431"/>
      <c r="O20" s="431"/>
      <c r="P20" s="431"/>
    </row>
    <row r="22" spans="1:16" x14ac:dyDescent="0.25">
      <c r="A22" s="439" t="s">
        <v>94</v>
      </c>
      <c r="B22" s="439"/>
      <c r="C22" s="439"/>
      <c r="D22" s="439"/>
      <c r="E22" s="439"/>
      <c r="F22" s="439"/>
      <c r="G22" s="439"/>
      <c r="H22" s="439"/>
      <c r="I22" s="439"/>
      <c r="J22" s="439"/>
      <c r="K22" s="439"/>
      <c r="L22" s="439"/>
      <c r="M22" s="439"/>
      <c r="N22" s="439"/>
      <c r="O22" s="439"/>
      <c r="P22" s="439"/>
    </row>
    <row r="23" spans="1:16" ht="15" customHeight="1" x14ac:dyDescent="0.25">
      <c r="A23" s="440"/>
      <c r="B23" s="440"/>
      <c r="C23" s="440"/>
      <c r="D23" s="440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440"/>
    </row>
    <row r="24" spans="1:16" x14ac:dyDescent="0.25">
      <c r="A24" s="440"/>
      <c r="B24" s="440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</row>
    <row r="25" spans="1:16" x14ac:dyDescent="0.25">
      <c r="A25" s="333"/>
      <c r="B25" s="333"/>
      <c r="C25" s="333"/>
      <c r="D25" s="333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</row>
    <row r="26" spans="1:16" ht="15" customHeight="1" x14ac:dyDescent="0.25">
      <c r="A26" s="439" t="s">
        <v>95</v>
      </c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</row>
    <row r="27" spans="1:16" ht="15" customHeight="1" x14ac:dyDescent="0.25">
      <c r="A27" s="440"/>
      <c r="B27" s="440"/>
      <c r="C27" s="440"/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0"/>
    </row>
    <row r="28" spans="1:16" x14ac:dyDescent="0.25">
      <c r="A28" s="440"/>
      <c r="B28" s="440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0"/>
    </row>
    <row r="29" spans="1:16" x14ac:dyDescent="0.25">
      <c r="A29" s="440"/>
      <c r="B29" s="440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0"/>
    </row>
    <row r="30" spans="1:16" x14ac:dyDescent="0.25">
      <c r="A30" s="440"/>
      <c r="B30" s="440"/>
      <c r="C30" s="440"/>
      <c r="D30" s="440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0"/>
    </row>
    <row r="31" spans="1:16" x14ac:dyDescent="0.25">
      <c r="A31" s="440"/>
      <c r="B31" s="440"/>
      <c r="C31" s="440"/>
      <c r="D31" s="440"/>
      <c r="E31" s="440"/>
      <c r="F31" s="440"/>
      <c r="G31" s="440"/>
      <c r="H31" s="440"/>
      <c r="I31" s="440"/>
      <c r="J31" s="440"/>
      <c r="K31" s="440"/>
      <c r="L31" s="440"/>
      <c r="M31" s="440"/>
      <c r="N31" s="440"/>
      <c r="O31" s="440"/>
      <c r="P31" s="440"/>
    </row>
    <row r="32" spans="1:16" x14ac:dyDescent="0.25">
      <c r="A32" s="440"/>
      <c r="B32" s="440"/>
      <c r="C32" s="440"/>
      <c r="D32" s="440"/>
      <c r="E32" s="440"/>
      <c r="F32" s="440"/>
      <c r="G32" s="440"/>
      <c r="H32" s="440"/>
      <c r="I32" s="440"/>
      <c r="J32" s="440"/>
      <c r="K32" s="440"/>
      <c r="L32" s="440"/>
      <c r="M32" s="440"/>
      <c r="N32" s="440"/>
      <c r="O32" s="440"/>
      <c r="P32" s="440"/>
    </row>
    <row r="33" spans="1:16" x14ac:dyDescent="0.25">
      <c r="A33" s="440"/>
      <c r="B33" s="440"/>
      <c r="C33" s="440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0"/>
    </row>
    <row r="34" spans="1:16" ht="15" customHeight="1" x14ac:dyDescent="0.25">
      <c r="A34" s="441" t="s">
        <v>96</v>
      </c>
      <c r="B34" s="441"/>
      <c r="C34" s="441"/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</row>
    <row r="35" spans="1:16" x14ac:dyDescent="0.25">
      <c r="A35" s="441"/>
      <c r="B35" s="441"/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</row>
    <row r="36" spans="1:16" x14ac:dyDescent="0.25">
      <c r="A36" s="441"/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</row>
    <row r="37" spans="1:16" x14ac:dyDescent="0.25">
      <c r="A37" s="441"/>
      <c r="B37" s="441"/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41"/>
      <c r="P37" s="441"/>
    </row>
    <row r="38" spans="1:16" ht="15" customHeight="1" x14ac:dyDescent="0.25">
      <c r="A38" s="441"/>
      <c r="B38" s="441"/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</row>
    <row r="39" spans="1:16" x14ac:dyDescent="0.25">
      <c r="A39" s="441"/>
      <c r="B39" s="441"/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</row>
    <row r="40" spans="1:16" x14ac:dyDescent="0.25">
      <c r="A40" s="441"/>
      <c r="B40" s="441"/>
      <c r="C40" s="441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</row>
    <row r="41" spans="1:16" x14ac:dyDescent="0.25">
      <c r="A41" s="441"/>
      <c r="B41" s="441"/>
      <c r="C41" s="441"/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</row>
    <row r="42" spans="1:16" x14ac:dyDescent="0.25">
      <c r="A42" s="441"/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</row>
    <row r="43" spans="1:16" x14ac:dyDescent="0.25">
      <c r="A43" s="441"/>
      <c r="B43" s="441"/>
      <c r="C43" s="441"/>
      <c r="D43" s="441"/>
      <c r="E43" s="441"/>
      <c r="F43" s="441"/>
      <c r="G43" s="441"/>
      <c r="H43" s="441"/>
      <c r="I43" s="441"/>
      <c r="J43" s="441"/>
      <c r="K43" s="441"/>
      <c r="L43" s="441"/>
      <c r="M43" s="441"/>
      <c r="N43" s="441"/>
      <c r="O43" s="441"/>
      <c r="P43" s="441"/>
    </row>
    <row r="44" spans="1:16" x14ac:dyDescent="0.25">
      <c r="A44" s="441"/>
      <c r="B44" s="441"/>
      <c r="C44" s="441"/>
      <c r="D44" s="441"/>
      <c r="E44" s="441"/>
      <c r="F44" s="441"/>
      <c r="G44" s="441"/>
      <c r="H44" s="441"/>
      <c r="I44" s="441"/>
      <c r="J44" s="441"/>
      <c r="K44" s="441"/>
      <c r="L44" s="441"/>
      <c r="M44" s="441"/>
      <c r="N44" s="441"/>
      <c r="O44" s="441"/>
      <c r="P44" s="441"/>
    </row>
    <row r="45" spans="1:16" x14ac:dyDescent="0.25">
      <c r="A45" s="441"/>
      <c r="B45" s="441"/>
      <c r="C45" s="441"/>
      <c r="D45" s="441"/>
      <c r="E45" s="441"/>
      <c r="F45" s="441"/>
      <c r="G45" s="441"/>
      <c r="H45" s="441"/>
      <c r="I45" s="441"/>
      <c r="J45" s="441"/>
      <c r="K45" s="441"/>
      <c r="L45" s="441"/>
      <c r="M45" s="441"/>
      <c r="N45" s="441"/>
      <c r="O45" s="441"/>
      <c r="P45" s="441"/>
    </row>
    <row r="46" spans="1:16" x14ac:dyDescent="0.25">
      <c r="A46" s="442" t="s">
        <v>97</v>
      </c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</row>
    <row r="47" spans="1:16" ht="15" customHeight="1" thickBot="1" x14ac:dyDescent="0.3">
      <c r="A47" s="436" t="s">
        <v>98</v>
      </c>
      <c r="B47" s="436"/>
      <c r="C47" s="436"/>
      <c r="D47" s="436"/>
      <c r="E47" s="436"/>
      <c r="F47" s="436"/>
      <c r="G47" s="437"/>
      <c r="H47" s="436" t="s">
        <v>99</v>
      </c>
      <c r="I47" s="436"/>
      <c r="J47" s="436"/>
      <c r="K47" s="436"/>
      <c r="L47" s="436"/>
      <c r="M47" s="436"/>
      <c r="N47" s="438"/>
      <c r="O47" s="436" t="s">
        <v>100</v>
      </c>
      <c r="P47" s="436"/>
    </row>
    <row r="48" spans="1:16" x14ac:dyDescent="0.25">
      <c r="A48" s="432"/>
      <c r="B48" s="432"/>
      <c r="C48" s="432"/>
      <c r="D48" s="432"/>
      <c r="E48" s="432"/>
      <c r="F48" s="432"/>
      <c r="G48" s="433"/>
      <c r="H48" s="432"/>
      <c r="I48" s="432"/>
      <c r="J48" s="432"/>
      <c r="K48" s="432"/>
      <c r="L48" s="432"/>
      <c r="M48" s="432"/>
      <c r="N48" s="433"/>
      <c r="O48" s="432"/>
      <c r="P48" s="432"/>
    </row>
    <row r="49" spans="1:16" ht="15.75" thickBot="1" x14ac:dyDescent="0.3">
      <c r="A49" s="434"/>
      <c r="B49" s="434"/>
      <c r="C49" s="434"/>
      <c r="D49" s="434"/>
      <c r="E49" s="434"/>
      <c r="F49" s="434"/>
      <c r="G49" s="435"/>
      <c r="H49" s="434"/>
      <c r="I49" s="434"/>
      <c r="J49" s="434"/>
      <c r="K49" s="434"/>
      <c r="L49" s="434"/>
      <c r="M49" s="434"/>
      <c r="N49" s="435"/>
      <c r="O49" s="434"/>
      <c r="P49" s="434"/>
    </row>
    <row r="50" spans="1:16" x14ac:dyDescent="0.25">
      <c r="A50" s="432"/>
      <c r="B50" s="432"/>
      <c r="C50" s="432"/>
      <c r="D50" s="432"/>
      <c r="E50" s="432"/>
      <c r="F50" s="432"/>
      <c r="G50" s="433"/>
      <c r="H50" s="432"/>
      <c r="I50" s="432"/>
      <c r="J50" s="432"/>
      <c r="K50" s="432"/>
      <c r="L50" s="432"/>
      <c r="M50" s="432"/>
      <c r="N50" s="433"/>
      <c r="O50" s="432"/>
      <c r="P50" s="432"/>
    </row>
    <row r="51" spans="1:16" ht="15.75" thickBot="1" x14ac:dyDescent="0.3">
      <c r="A51" s="434"/>
      <c r="B51" s="434"/>
      <c r="C51" s="434"/>
      <c r="D51" s="434"/>
      <c r="E51" s="434"/>
      <c r="F51" s="434"/>
      <c r="G51" s="435"/>
      <c r="H51" s="434"/>
      <c r="I51" s="434"/>
      <c r="J51" s="434"/>
      <c r="K51" s="434"/>
      <c r="L51" s="434"/>
      <c r="M51" s="434"/>
      <c r="N51" s="435"/>
      <c r="O51" s="434"/>
      <c r="P51" s="434"/>
    </row>
    <row r="52" spans="1:16" x14ac:dyDescent="0.25">
      <c r="A52" s="432"/>
      <c r="B52" s="432"/>
      <c r="C52" s="432"/>
      <c r="D52" s="432"/>
      <c r="E52" s="432"/>
      <c r="F52" s="432"/>
      <c r="G52" s="433"/>
      <c r="H52" s="432"/>
      <c r="I52" s="432"/>
      <c r="J52" s="432"/>
      <c r="K52" s="432"/>
      <c r="L52" s="432"/>
      <c r="M52" s="432"/>
      <c r="N52" s="433"/>
      <c r="O52" s="432"/>
      <c r="P52" s="432"/>
    </row>
    <row r="53" spans="1:16" ht="15.75" thickBot="1" x14ac:dyDescent="0.3">
      <c r="A53" s="434"/>
      <c r="B53" s="434"/>
      <c r="C53" s="434"/>
      <c r="D53" s="434"/>
      <c r="E53" s="434"/>
      <c r="F53" s="434"/>
      <c r="G53" s="435"/>
      <c r="H53" s="434"/>
      <c r="I53" s="434"/>
      <c r="J53" s="434"/>
      <c r="K53" s="434"/>
      <c r="L53" s="434"/>
      <c r="M53" s="434"/>
      <c r="N53" s="435"/>
      <c r="O53" s="434"/>
      <c r="P53" s="434"/>
    </row>
    <row r="54" spans="1:16" x14ac:dyDescent="0.25">
      <c r="A54" s="432"/>
      <c r="B54" s="432"/>
      <c r="C54" s="432"/>
      <c r="D54" s="432"/>
      <c r="E54" s="432"/>
      <c r="F54" s="432"/>
      <c r="G54" s="433"/>
      <c r="H54" s="432"/>
      <c r="I54" s="432"/>
      <c r="J54" s="432"/>
      <c r="K54" s="432"/>
      <c r="L54" s="432"/>
      <c r="M54" s="432"/>
      <c r="N54" s="433"/>
      <c r="O54" s="432"/>
      <c r="P54" s="432"/>
    </row>
    <row r="55" spans="1:16" ht="15.75" thickBot="1" x14ac:dyDescent="0.3">
      <c r="A55" s="434"/>
      <c r="B55" s="434"/>
      <c r="C55" s="434"/>
      <c r="D55" s="434"/>
      <c r="E55" s="434"/>
      <c r="F55" s="434"/>
      <c r="G55" s="435"/>
      <c r="H55" s="434"/>
      <c r="I55" s="434"/>
      <c r="J55" s="434"/>
      <c r="K55" s="434"/>
      <c r="L55" s="434"/>
      <c r="M55" s="434"/>
      <c r="N55" s="435"/>
      <c r="O55" s="434"/>
      <c r="P55" s="434"/>
    </row>
  </sheetData>
  <mergeCells count="36">
    <mergeCell ref="C19:E19"/>
    <mergeCell ref="C9:F9"/>
    <mergeCell ref="A23:P24"/>
    <mergeCell ref="A2:P3"/>
    <mergeCell ref="A4:P5"/>
    <mergeCell ref="G7:P20"/>
    <mergeCell ref="C10:E10"/>
    <mergeCell ref="C11:E11"/>
    <mergeCell ref="A13:B13"/>
    <mergeCell ref="C13:E13"/>
    <mergeCell ref="A14:B14"/>
    <mergeCell ref="C14:E14"/>
    <mergeCell ref="A17:B17"/>
    <mergeCell ref="C17:E17"/>
    <mergeCell ref="C18:E18"/>
    <mergeCell ref="C20:E20"/>
    <mergeCell ref="A22:P22"/>
    <mergeCell ref="A26:P26"/>
    <mergeCell ref="A27:P33"/>
    <mergeCell ref="A34:P45"/>
    <mergeCell ref="A46:P46"/>
    <mergeCell ref="A47:G47"/>
    <mergeCell ref="H47:N47"/>
    <mergeCell ref="O47:P47"/>
    <mergeCell ref="A48:G49"/>
    <mergeCell ref="H48:N49"/>
    <mergeCell ref="O48:P49"/>
    <mergeCell ref="A54:G55"/>
    <mergeCell ref="H54:N55"/>
    <mergeCell ref="O54:P55"/>
    <mergeCell ref="A50:G51"/>
    <mergeCell ref="H50:N51"/>
    <mergeCell ref="O50:P51"/>
    <mergeCell ref="A52:G53"/>
    <mergeCell ref="H52:N53"/>
    <mergeCell ref="O52:P53"/>
  </mergeCells>
  <conditionalFormatting sqref="C10 C13:C14 C20">
    <cfRule type="expression" dxfId="70" priority="2">
      <formula>LEN(C10)=0</formula>
    </cfRule>
  </conditionalFormatting>
  <conditionalFormatting sqref="C18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{BCCB4CB8-6B91-4C82-9796-B225F80944AA}</x14:id>
        </ext>
      </extLst>
    </cfRule>
  </conditionalFormatting>
  <conditionalFormatting sqref="C16:E16">
    <cfRule type="dataBar" priority="6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{275A3793-1193-416C-834F-3207E2ADC464}</x14:id>
        </ext>
      </extLst>
    </cfRule>
  </conditionalFormatting>
  <conditionalFormatting sqref="C17:E17">
    <cfRule type="dataBar" priority="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{83596E62-C0E5-41A5-90CD-505BB30D415E}</x14:id>
        </ext>
      </extLst>
    </cfRule>
    <cfRule type="dataBar" priority="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{6D795A18-2F7F-4218-BCB9-8F62C4F2A5B7}</x14:id>
        </ext>
      </extLst>
    </cfRule>
  </conditionalFormatting>
  <pageMargins left="0.51181102362204722" right="0.19685039370078741" top="0.19685039370078741" bottom="0.19685039370078741" header="0.31496062992125984" footer="0.31496062992125984"/>
  <pageSetup paperSize="9" fitToWidth="0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B4CB8-6B91-4C82-9796-B225F80944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cellIs" priority="1" operator="equal" id="{B706C700-1A46-4BCD-BED1-A7D3A089D85A}">
            <xm:f>Info!$B$5</xm:f>
            <x14:dxf/>
          </x14:cfRule>
          <xm:sqref>C12:E12</xm:sqref>
        </x14:conditionalFormatting>
        <x14:conditionalFormatting xmlns:xm="http://schemas.microsoft.com/office/excel/2006/main">
          <x14:cfRule type="dataBar" id="{275A3793-1193-416C-834F-3207E2ADC4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C16:E16</xm:sqref>
        </x14:conditionalFormatting>
        <x14:conditionalFormatting xmlns:xm="http://schemas.microsoft.com/office/excel/2006/main">
          <x14:cfRule type="dataBar" id="{83596E62-C0E5-41A5-90CD-505BB30D41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D795A18-2F7F-4218-BCB9-8F62C4F2A5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C17:E17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143226-3EAF-4FCF-BDE2-741A2ED26EE9}">
          <x14:formula1>
            <xm:f>Info!$I$84:$I$87</xm:f>
          </x14:formula1>
          <xm:sqref>C14:E14</xm:sqref>
        </x14:dataValidation>
        <x14:dataValidation type="list" allowBlank="1" showInputMessage="1" showErrorMessage="1" xr:uid="{A43955E6-9ADF-47C2-AEE1-0353901AD756}">
          <x14:formula1>
            <xm:f>Info!$I$88:$I$89</xm:f>
          </x14:formula1>
          <xm:sqref>C20:E20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5F83-2C33-4BD7-B4ED-A15216924263}">
  <sheetPr codeName="Tabelle2"/>
  <dimension ref="A1:D65"/>
  <sheetViews>
    <sheetView workbookViewId="0">
      <selection activeCell="A2" sqref="A2:D59"/>
    </sheetView>
  </sheetViews>
  <sheetFormatPr baseColWidth="10" defaultColWidth="11.42578125" defaultRowHeight="15" x14ac:dyDescent="0.25"/>
  <cols>
    <col min="1" max="1" width="13.5703125" customWidth="1"/>
    <col min="2" max="2" width="131" bestFit="1" customWidth="1"/>
    <col min="3" max="3" width="8.5703125" customWidth="1"/>
    <col min="4" max="4" width="9.42578125" customWidth="1"/>
  </cols>
  <sheetData>
    <row r="1" spans="1:4" x14ac:dyDescent="0.25">
      <c r="A1" t="s">
        <v>101</v>
      </c>
      <c r="B1" t="s">
        <v>41</v>
      </c>
      <c r="C1" t="s">
        <v>102</v>
      </c>
      <c r="D1" t="s">
        <v>6</v>
      </c>
    </row>
    <row r="2" spans="1:4" x14ac:dyDescent="0.25">
      <c r="A2" t="s">
        <v>228</v>
      </c>
      <c r="B2" t="s">
        <v>229</v>
      </c>
      <c r="C2" s="251">
        <v>0.34189999999999998</v>
      </c>
      <c r="D2" s="251">
        <v>0.33329999999999999</v>
      </c>
    </row>
    <row r="3" spans="1:4" x14ac:dyDescent="0.25">
      <c r="A3" t="s">
        <v>230</v>
      </c>
      <c r="B3" t="s">
        <v>231</v>
      </c>
      <c r="C3" s="251">
        <v>1.9521999999999999</v>
      </c>
      <c r="D3" s="251">
        <v>3.3332999999999999</v>
      </c>
    </row>
    <row r="4" spans="1:4" x14ac:dyDescent="0.25">
      <c r="A4" t="s">
        <v>232</v>
      </c>
      <c r="B4" t="s">
        <v>233</v>
      </c>
      <c r="C4" s="251">
        <v>1.5516000000000001</v>
      </c>
      <c r="D4" s="251">
        <v>4</v>
      </c>
    </row>
    <row r="5" spans="1:4" x14ac:dyDescent="0.25">
      <c r="A5" t="s">
        <v>234</v>
      </c>
      <c r="B5" t="s">
        <v>235</v>
      </c>
      <c r="C5" s="251">
        <v>3.3852000000000002</v>
      </c>
      <c r="D5" s="251">
        <v>2</v>
      </c>
    </row>
    <row r="6" spans="1:4" x14ac:dyDescent="0.25">
      <c r="A6" t="s">
        <v>234</v>
      </c>
      <c r="B6" t="s">
        <v>235</v>
      </c>
      <c r="C6" s="251">
        <v>3.3054999999999999</v>
      </c>
      <c r="D6" s="251">
        <v>2</v>
      </c>
    </row>
    <row r="7" spans="1:4" x14ac:dyDescent="0.25">
      <c r="A7" t="s">
        <v>234</v>
      </c>
      <c r="B7" t="s">
        <v>236</v>
      </c>
      <c r="C7" s="251">
        <v>2.4702000000000002</v>
      </c>
      <c r="D7" s="251">
        <v>4</v>
      </c>
    </row>
    <row r="8" spans="1:4" x14ac:dyDescent="0.25">
      <c r="A8" t="s">
        <v>234</v>
      </c>
      <c r="B8" t="s">
        <v>236</v>
      </c>
      <c r="C8" s="251">
        <v>0</v>
      </c>
      <c r="D8" s="251">
        <v>2</v>
      </c>
    </row>
    <row r="9" spans="1:4" x14ac:dyDescent="0.25">
      <c r="A9" t="s">
        <v>234</v>
      </c>
      <c r="B9" t="s">
        <v>237</v>
      </c>
      <c r="C9" s="251">
        <v>0</v>
      </c>
      <c r="D9" s="251">
        <v>1</v>
      </c>
    </row>
    <row r="10" spans="1:4" x14ac:dyDescent="0.25">
      <c r="A10" t="s">
        <v>234</v>
      </c>
      <c r="B10" t="s">
        <v>237</v>
      </c>
      <c r="C10" s="251">
        <v>0</v>
      </c>
      <c r="D10" s="251">
        <v>1</v>
      </c>
    </row>
    <row r="11" spans="1:4" x14ac:dyDescent="0.25">
      <c r="A11" t="s">
        <v>238</v>
      </c>
      <c r="B11" t="s">
        <v>239</v>
      </c>
      <c r="C11" s="251">
        <v>23.502700000000001</v>
      </c>
      <c r="D11" s="251">
        <v>10</v>
      </c>
    </row>
    <row r="12" spans="1:4" x14ac:dyDescent="0.25">
      <c r="A12" t="s">
        <v>238</v>
      </c>
      <c r="B12" t="s">
        <v>240</v>
      </c>
      <c r="C12" s="251">
        <v>8.4376999999999995</v>
      </c>
      <c r="D12" s="251">
        <v>5.3333000000000004</v>
      </c>
    </row>
    <row r="13" spans="1:4" x14ac:dyDescent="0.25">
      <c r="A13" t="s">
        <v>238</v>
      </c>
      <c r="B13" t="s">
        <v>241</v>
      </c>
      <c r="C13" s="251">
        <v>3.0832999999999999</v>
      </c>
      <c r="D13" s="251">
        <v>6</v>
      </c>
    </row>
    <row r="14" spans="1:4" x14ac:dyDescent="0.25">
      <c r="A14" t="s">
        <v>238</v>
      </c>
      <c r="B14" t="s">
        <v>242</v>
      </c>
      <c r="C14" s="251">
        <v>6.25</v>
      </c>
      <c r="D14" s="251">
        <v>4</v>
      </c>
    </row>
    <row r="15" spans="1:4" x14ac:dyDescent="0.25">
      <c r="A15" t="s">
        <v>238</v>
      </c>
      <c r="B15" t="s">
        <v>242</v>
      </c>
      <c r="C15" s="251">
        <v>19.3294</v>
      </c>
      <c r="D15" s="251">
        <v>4</v>
      </c>
    </row>
    <row r="16" spans="1:4" x14ac:dyDescent="0.25">
      <c r="A16" t="s">
        <v>243</v>
      </c>
      <c r="B16" t="s">
        <v>244</v>
      </c>
      <c r="C16" s="251">
        <v>1.3308</v>
      </c>
      <c r="D16" s="251">
        <v>3.3332999999999999</v>
      </c>
    </row>
    <row r="17" spans="1:4" x14ac:dyDescent="0.25">
      <c r="A17" t="s">
        <v>243</v>
      </c>
      <c r="B17" t="s">
        <v>245</v>
      </c>
      <c r="C17" s="251">
        <v>4.21</v>
      </c>
      <c r="D17" s="251">
        <v>4.5</v>
      </c>
    </row>
    <row r="18" spans="1:4" x14ac:dyDescent="0.25">
      <c r="A18" t="s">
        <v>243</v>
      </c>
      <c r="B18" t="s">
        <v>246</v>
      </c>
      <c r="C18" s="251">
        <v>3.6347</v>
      </c>
      <c r="D18" s="251">
        <v>3.3332999999999999</v>
      </c>
    </row>
    <row r="19" spans="1:4" x14ac:dyDescent="0.25">
      <c r="A19" t="s">
        <v>243</v>
      </c>
      <c r="B19" t="s">
        <v>247</v>
      </c>
      <c r="C19" s="251">
        <v>4.2591000000000001</v>
      </c>
      <c r="D19" s="251">
        <v>4</v>
      </c>
    </row>
    <row r="20" spans="1:4" x14ac:dyDescent="0.25">
      <c r="A20" t="s">
        <v>243</v>
      </c>
      <c r="B20" t="s">
        <v>248</v>
      </c>
      <c r="C20" s="251">
        <v>0</v>
      </c>
      <c r="D20" s="251">
        <v>3</v>
      </c>
    </row>
    <row r="21" spans="1:4" x14ac:dyDescent="0.25">
      <c r="A21" t="s">
        <v>249</v>
      </c>
      <c r="B21" t="s">
        <v>250</v>
      </c>
      <c r="C21" s="251">
        <v>0</v>
      </c>
      <c r="D21" s="251">
        <v>2</v>
      </c>
    </row>
    <row r="22" spans="1:4" x14ac:dyDescent="0.25">
      <c r="A22" t="s">
        <v>249</v>
      </c>
      <c r="B22" t="s">
        <v>251</v>
      </c>
      <c r="C22" s="251">
        <v>0.71499999999999997</v>
      </c>
      <c r="D22" s="251">
        <v>1</v>
      </c>
    </row>
    <row r="23" spans="1:4" x14ac:dyDescent="0.25">
      <c r="A23" t="s">
        <v>249</v>
      </c>
      <c r="B23" t="s">
        <v>252</v>
      </c>
      <c r="C23" s="251">
        <v>1.1725000000000001</v>
      </c>
      <c r="D23" s="251">
        <v>1.3332999999999999</v>
      </c>
    </row>
    <row r="24" spans="1:4" x14ac:dyDescent="0.25">
      <c r="A24" t="s">
        <v>249</v>
      </c>
      <c r="B24" t="s">
        <v>253</v>
      </c>
      <c r="C24" s="251">
        <v>0</v>
      </c>
      <c r="D24" s="251">
        <v>1</v>
      </c>
    </row>
    <row r="25" spans="1:4" x14ac:dyDescent="0.25">
      <c r="A25" t="s">
        <v>249</v>
      </c>
      <c r="B25" t="s">
        <v>254</v>
      </c>
      <c r="C25" s="251">
        <v>0</v>
      </c>
      <c r="D25" s="251">
        <v>1</v>
      </c>
    </row>
    <row r="26" spans="1:4" x14ac:dyDescent="0.25">
      <c r="A26" t="s">
        <v>255</v>
      </c>
      <c r="B26" t="s">
        <v>256</v>
      </c>
      <c r="C26" s="251">
        <v>0</v>
      </c>
      <c r="D26" s="251">
        <v>1.66E-2</v>
      </c>
    </row>
    <row r="27" spans="1:4" x14ac:dyDescent="0.25">
      <c r="A27" t="s">
        <v>255</v>
      </c>
      <c r="B27" t="s">
        <v>257</v>
      </c>
      <c r="C27" s="251">
        <v>0</v>
      </c>
      <c r="D27" s="251">
        <v>6.6600000000000006E-2</v>
      </c>
    </row>
    <row r="28" spans="1:4" x14ac:dyDescent="0.25">
      <c r="A28" t="s">
        <v>258</v>
      </c>
      <c r="B28" t="s">
        <v>259</v>
      </c>
      <c r="C28" s="251">
        <v>0</v>
      </c>
      <c r="D28" s="251">
        <v>1.66E-2</v>
      </c>
    </row>
    <row r="29" spans="1:4" x14ac:dyDescent="0.25">
      <c r="A29" t="s">
        <v>260</v>
      </c>
      <c r="B29" t="s">
        <v>261</v>
      </c>
      <c r="C29" s="251">
        <v>0</v>
      </c>
      <c r="D29" s="251">
        <v>4.1665999999999999</v>
      </c>
    </row>
    <row r="30" spans="1:4" x14ac:dyDescent="0.25">
      <c r="A30" t="s">
        <v>260</v>
      </c>
      <c r="B30" t="s">
        <v>262</v>
      </c>
      <c r="C30" s="251">
        <v>0.14249999999999999</v>
      </c>
      <c r="D30" s="251">
        <v>0.25</v>
      </c>
    </row>
    <row r="31" spans="1:4" x14ac:dyDescent="0.25">
      <c r="A31" t="s">
        <v>260</v>
      </c>
      <c r="B31" t="s">
        <v>263</v>
      </c>
      <c r="C31" s="251">
        <v>8.7251999999999992</v>
      </c>
      <c r="D31" s="251">
        <v>25</v>
      </c>
    </row>
    <row r="32" spans="1:4" x14ac:dyDescent="0.25">
      <c r="A32" t="s">
        <v>264</v>
      </c>
      <c r="B32" t="s">
        <v>265</v>
      </c>
      <c r="C32" s="251">
        <v>0</v>
      </c>
      <c r="D32" s="251">
        <v>1.66E-2</v>
      </c>
    </row>
    <row r="33" spans="1:4" x14ac:dyDescent="0.25">
      <c r="A33" t="s">
        <v>266</v>
      </c>
      <c r="B33" t="s">
        <v>267</v>
      </c>
      <c r="C33" s="251">
        <v>0.21829999999999999</v>
      </c>
      <c r="D33" s="251">
        <v>0.5</v>
      </c>
    </row>
    <row r="34" spans="1:4" x14ac:dyDescent="0.25">
      <c r="A34" t="s">
        <v>266</v>
      </c>
      <c r="B34" t="s">
        <v>268</v>
      </c>
      <c r="C34" s="251">
        <v>0.1416</v>
      </c>
      <c r="D34" s="251">
        <v>8.3299999999999999E-2</v>
      </c>
    </row>
    <row r="35" spans="1:4" x14ac:dyDescent="0.25">
      <c r="A35" t="s">
        <v>266</v>
      </c>
      <c r="B35" t="s">
        <v>269</v>
      </c>
      <c r="C35" s="251">
        <v>0</v>
      </c>
      <c r="D35" s="251">
        <v>0.5</v>
      </c>
    </row>
    <row r="36" spans="1:4" x14ac:dyDescent="0.25">
      <c r="A36" t="s">
        <v>266</v>
      </c>
      <c r="B36" t="s">
        <v>270</v>
      </c>
      <c r="C36" s="251">
        <v>0.17050000000000001</v>
      </c>
      <c r="D36" s="251">
        <v>6.6600000000000006E-2</v>
      </c>
    </row>
    <row r="37" spans="1:4" x14ac:dyDescent="0.25">
      <c r="A37" t="s">
        <v>266</v>
      </c>
      <c r="B37" t="s">
        <v>271</v>
      </c>
      <c r="C37" s="251">
        <v>0.1416</v>
      </c>
      <c r="D37" s="251">
        <v>0.1333</v>
      </c>
    </row>
    <row r="38" spans="1:4" x14ac:dyDescent="0.25">
      <c r="A38" t="s">
        <v>266</v>
      </c>
      <c r="B38" t="s">
        <v>272</v>
      </c>
      <c r="C38" s="251">
        <v>0.23130000000000001</v>
      </c>
      <c r="D38" s="251">
        <v>0.2666</v>
      </c>
    </row>
    <row r="39" spans="1:4" x14ac:dyDescent="0.25">
      <c r="A39" t="s">
        <v>266</v>
      </c>
      <c r="B39" t="s">
        <v>273</v>
      </c>
      <c r="C39" s="251">
        <v>0</v>
      </c>
      <c r="D39" s="251">
        <v>0.33329999999999999</v>
      </c>
    </row>
    <row r="40" spans="1:4" x14ac:dyDescent="0.25">
      <c r="A40" t="s">
        <v>266</v>
      </c>
      <c r="B40" t="s">
        <v>274</v>
      </c>
      <c r="C40" s="251">
        <v>0.10050000000000001</v>
      </c>
      <c r="D40" s="251">
        <v>8.3299999999999999E-2</v>
      </c>
    </row>
    <row r="41" spans="1:4" x14ac:dyDescent="0.25">
      <c r="A41" t="s">
        <v>266</v>
      </c>
      <c r="B41" t="s">
        <v>274</v>
      </c>
      <c r="C41" s="251">
        <v>6.0499999999999998E-2</v>
      </c>
      <c r="D41" s="251">
        <v>8.3299999999999999E-2</v>
      </c>
    </row>
    <row r="42" spans="1:4" x14ac:dyDescent="0.25">
      <c r="A42" t="s">
        <v>266</v>
      </c>
      <c r="B42" t="s">
        <v>275</v>
      </c>
      <c r="C42" s="251">
        <v>5.4699999999999999E-2</v>
      </c>
      <c r="D42" s="251">
        <v>8.3299999999999999E-2</v>
      </c>
    </row>
    <row r="43" spans="1:4" x14ac:dyDescent="0.25">
      <c r="A43" t="s">
        <v>276</v>
      </c>
      <c r="B43" t="s">
        <v>277</v>
      </c>
      <c r="C43" s="251">
        <v>1.9755</v>
      </c>
      <c r="D43" s="251">
        <v>2</v>
      </c>
    </row>
    <row r="44" spans="1:4" x14ac:dyDescent="0.25">
      <c r="A44" t="s">
        <v>276</v>
      </c>
      <c r="B44" t="s">
        <v>277</v>
      </c>
      <c r="C44" s="251">
        <v>0</v>
      </c>
      <c r="D44" s="251">
        <v>2</v>
      </c>
    </row>
    <row r="45" spans="1:4" x14ac:dyDescent="0.25">
      <c r="A45" t="s">
        <v>276</v>
      </c>
      <c r="B45" t="s">
        <v>277</v>
      </c>
      <c r="C45" s="251">
        <v>0</v>
      </c>
      <c r="D45" s="251">
        <v>2</v>
      </c>
    </row>
    <row r="46" spans="1:4" x14ac:dyDescent="0.25">
      <c r="A46" t="s">
        <v>276</v>
      </c>
      <c r="B46" t="s">
        <v>278</v>
      </c>
      <c r="C46" s="251">
        <v>0.58660000000000001</v>
      </c>
      <c r="D46" s="251">
        <v>1.3332999999999999</v>
      </c>
    </row>
    <row r="47" spans="1:4" x14ac:dyDescent="0.25">
      <c r="A47" t="s">
        <v>276</v>
      </c>
      <c r="B47" t="s">
        <v>279</v>
      </c>
      <c r="C47" s="251">
        <v>0</v>
      </c>
      <c r="D47" s="251">
        <v>0.75</v>
      </c>
    </row>
    <row r="48" spans="1:4" x14ac:dyDescent="0.25">
      <c r="A48" t="s">
        <v>276</v>
      </c>
      <c r="B48" t="s">
        <v>279</v>
      </c>
      <c r="C48" s="251">
        <v>0</v>
      </c>
      <c r="D48" s="251">
        <v>0.75</v>
      </c>
    </row>
    <row r="49" spans="1:4" x14ac:dyDescent="0.25">
      <c r="A49" t="s">
        <v>276</v>
      </c>
      <c r="B49" t="s">
        <v>280</v>
      </c>
      <c r="C49" s="251">
        <v>0.22720000000000001</v>
      </c>
      <c r="D49" s="251">
        <v>0.75</v>
      </c>
    </row>
    <row r="50" spans="1:4" x14ac:dyDescent="0.25">
      <c r="A50" t="s">
        <v>276</v>
      </c>
      <c r="B50" t="s">
        <v>280</v>
      </c>
      <c r="C50" s="251">
        <v>0.69110000000000005</v>
      </c>
      <c r="D50" s="251">
        <v>0.75</v>
      </c>
    </row>
    <row r="51" spans="1:4" x14ac:dyDescent="0.25">
      <c r="A51" t="s">
        <v>276</v>
      </c>
      <c r="B51" t="s">
        <v>281</v>
      </c>
      <c r="C51" s="251">
        <v>0.53749999999999998</v>
      </c>
      <c r="D51" s="251">
        <v>1.5</v>
      </c>
    </row>
    <row r="52" spans="1:4" x14ac:dyDescent="0.25">
      <c r="A52" t="s">
        <v>282</v>
      </c>
      <c r="B52" t="s">
        <v>283</v>
      </c>
      <c r="C52" s="251">
        <v>1.0800000000000001E-2</v>
      </c>
      <c r="D52" s="251">
        <v>0.5</v>
      </c>
    </row>
    <row r="53" spans="1:4" x14ac:dyDescent="0.25">
      <c r="A53" t="s">
        <v>282</v>
      </c>
      <c r="B53" t="s">
        <v>284</v>
      </c>
      <c r="C53" s="251">
        <v>0.51719999999999999</v>
      </c>
      <c r="D53" s="251">
        <v>1</v>
      </c>
    </row>
    <row r="54" spans="1:4" x14ac:dyDescent="0.25">
      <c r="A54" t="s">
        <v>282</v>
      </c>
      <c r="B54" t="s">
        <v>285</v>
      </c>
      <c r="C54" s="251">
        <v>0.8175</v>
      </c>
      <c r="D54" s="251">
        <v>1</v>
      </c>
    </row>
    <row r="55" spans="1:4" x14ac:dyDescent="0.25">
      <c r="A55" t="s">
        <v>282</v>
      </c>
      <c r="B55" t="s">
        <v>286</v>
      </c>
      <c r="C55" s="251">
        <v>0</v>
      </c>
      <c r="D55" s="251">
        <v>1</v>
      </c>
    </row>
    <row r="56" spans="1:4" x14ac:dyDescent="0.25">
      <c r="A56" t="s">
        <v>287</v>
      </c>
      <c r="B56" t="s">
        <v>288</v>
      </c>
      <c r="C56" s="251">
        <v>5.5446999999999997</v>
      </c>
      <c r="D56" s="251">
        <v>4</v>
      </c>
    </row>
    <row r="57" spans="1:4" x14ac:dyDescent="0.25">
      <c r="A57" t="s">
        <v>289</v>
      </c>
      <c r="B57" t="s">
        <v>290</v>
      </c>
      <c r="C57" s="251">
        <v>9.9065999999999992</v>
      </c>
      <c r="D57" s="251">
        <v>10</v>
      </c>
    </row>
    <row r="58" spans="1:4" x14ac:dyDescent="0.25">
      <c r="A58" t="s">
        <v>289</v>
      </c>
      <c r="B58" t="s">
        <v>291</v>
      </c>
      <c r="C58" s="251">
        <v>0.67769999999999997</v>
      </c>
      <c r="D58" s="251">
        <v>5</v>
      </c>
    </row>
    <row r="59" spans="1:4" x14ac:dyDescent="0.25">
      <c r="A59" t="s">
        <v>292</v>
      </c>
      <c r="B59" t="s">
        <v>293</v>
      </c>
      <c r="C59" s="251">
        <v>1.9708000000000001</v>
      </c>
      <c r="D59" s="251">
        <v>0.5</v>
      </c>
    </row>
    <row r="60" spans="1:4" x14ac:dyDescent="0.25">
      <c r="A60" t="s">
        <v>292</v>
      </c>
      <c r="B60" t="s">
        <v>294</v>
      </c>
      <c r="C60" s="251">
        <v>2.4725000000000001</v>
      </c>
      <c r="D60" s="251">
        <v>1.5</v>
      </c>
    </row>
    <row r="61" spans="1:4" x14ac:dyDescent="0.25">
      <c r="A61" t="s">
        <v>295</v>
      </c>
      <c r="B61" t="s">
        <v>296</v>
      </c>
      <c r="C61" s="251">
        <v>1.4836</v>
      </c>
      <c r="D61" s="251">
        <v>1.5</v>
      </c>
    </row>
    <row r="62" spans="1:4" x14ac:dyDescent="0.25">
      <c r="A62" t="s">
        <v>295</v>
      </c>
      <c r="B62" t="s">
        <v>297</v>
      </c>
      <c r="C62" s="251">
        <v>2.7986</v>
      </c>
      <c r="D62" s="251">
        <v>2</v>
      </c>
    </row>
    <row r="63" spans="1:4" x14ac:dyDescent="0.25">
      <c r="A63" t="s">
        <v>295</v>
      </c>
      <c r="B63" t="s">
        <v>298</v>
      </c>
      <c r="C63" s="251">
        <v>0.39360000000000001</v>
      </c>
      <c r="D63" s="251">
        <v>0.66659999999999997</v>
      </c>
    </row>
    <row r="64" spans="1:4" x14ac:dyDescent="0.25">
      <c r="A64" t="s">
        <v>295</v>
      </c>
      <c r="B64" t="s">
        <v>299</v>
      </c>
      <c r="C64" s="251">
        <v>0.75580000000000003</v>
      </c>
      <c r="D64" s="251">
        <v>1</v>
      </c>
    </row>
    <row r="65" spans="1:4" x14ac:dyDescent="0.25">
      <c r="A65" t="s">
        <v>295</v>
      </c>
      <c r="B65" t="s">
        <v>300</v>
      </c>
      <c r="C65" s="251">
        <v>0.38690000000000002</v>
      </c>
      <c r="D65" s="251">
        <v>0.33329999999999999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4">
    <pageSetUpPr fitToPage="1"/>
  </sheetPr>
  <dimension ref="A1:S100"/>
  <sheetViews>
    <sheetView showGridLines="0" tabSelected="1" topLeftCell="A18" zoomScaleNormal="100" workbookViewId="0">
      <selection activeCell="J15" sqref="J15"/>
    </sheetView>
  </sheetViews>
  <sheetFormatPr baseColWidth="10" defaultColWidth="11.42578125" defaultRowHeight="15" x14ac:dyDescent="0.25"/>
  <cols>
    <col min="1" max="1" width="6.42578125" customWidth="1"/>
    <col min="2" max="2" width="27" bestFit="1" customWidth="1"/>
    <col min="3" max="3" width="12.42578125" bestFit="1" customWidth="1"/>
    <col min="4" max="4" width="17.140625" bestFit="1" customWidth="1"/>
    <col min="5" max="5" width="17.42578125" style="2" bestFit="1" customWidth="1"/>
    <col min="6" max="6" width="14.140625" customWidth="1"/>
    <col min="7" max="7" width="18.140625" customWidth="1"/>
    <col min="8" max="8" width="13.140625" customWidth="1"/>
    <col min="9" max="9" width="15" customWidth="1"/>
    <col min="10" max="10" width="13" bestFit="1" customWidth="1"/>
    <col min="11" max="11" width="18" customWidth="1"/>
    <col min="12" max="12" width="12" bestFit="1" customWidth="1"/>
    <col min="13" max="13" width="12.85546875" bestFit="1" customWidth="1"/>
    <col min="14" max="14" width="17.42578125" bestFit="1" customWidth="1"/>
  </cols>
  <sheetData>
    <row r="1" spans="2:17" ht="15.75" thickBot="1" x14ac:dyDescent="0.3"/>
    <row r="2" spans="2:17" s="1" customFormat="1" x14ac:dyDescent="0.25">
      <c r="B2" s="454"/>
      <c r="C2" s="455"/>
      <c r="D2" s="455"/>
      <c r="E2" s="455"/>
      <c r="F2" s="455"/>
      <c r="G2" s="455"/>
      <c r="H2" s="455"/>
      <c r="I2" s="455"/>
      <c r="J2" s="456"/>
      <c r="K2" s="2"/>
    </row>
    <row r="3" spans="2:17" s="2" customFormat="1" x14ac:dyDescent="0.25">
      <c r="B3" s="145" t="s">
        <v>103</v>
      </c>
      <c r="C3" s="5" t="s">
        <v>32</v>
      </c>
      <c r="D3" s="146" t="s">
        <v>10</v>
      </c>
      <c r="E3" s="146" t="s">
        <v>8</v>
      </c>
      <c r="F3" s="146" t="s">
        <v>16</v>
      </c>
      <c r="G3" s="5" t="s">
        <v>28</v>
      </c>
      <c r="H3" s="146" t="s">
        <v>104</v>
      </c>
      <c r="I3" s="146" t="s">
        <v>58</v>
      </c>
      <c r="J3" s="147" t="s">
        <v>105</v>
      </c>
      <c r="K3"/>
    </row>
    <row r="4" spans="2:17" ht="15.75" thickBot="1" x14ac:dyDescent="0.3">
      <c r="B4" s="8" t="str">
        <f>+Info!B7</f>
        <v>PFEIFFER BENELUX</v>
      </c>
      <c r="C4" s="9" t="str">
        <f>+Info!B15</f>
        <v>Plomer</v>
      </c>
      <c r="D4" s="10" t="str">
        <f>+Info!B6</f>
        <v>P47551</v>
      </c>
      <c r="E4" s="11" t="str">
        <f>+Info!B5</f>
        <v>B</v>
      </c>
      <c r="F4" s="11">
        <f>+Info!B9+Info!B11+Info!C11+Info!D11+Info!E11</f>
        <v>27274.5</v>
      </c>
      <c r="G4" s="12" t="e">
        <f>+Info!#REF!</f>
        <v>#REF!</v>
      </c>
      <c r="H4" s="12" t="e">
        <f>+Info!#REF!</f>
        <v>#REF!</v>
      </c>
      <c r="I4" s="29">
        <f>(F4-(J24*1.04))/F4</f>
        <v>0.99824598067792258</v>
      </c>
      <c r="J4" s="13"/>
    </row>
    <row r="5" spans="2:17" ht="15.75" thickBot="1" x14ac:dyDescent="0.3">
      <c r="E5"/>
    </row>
    <row r="6" spans="2:17" ht="15.75" thickBot="1" x14ac:dyDescent="0.3">
      <c r="B6" s="70" t="s">
        <v>106</v>
      </c>
      <c r="C6" s="457">
        <f>+Info!B18</f>
        <v>0</v>
      </c>
      <c r="D6" s="458"/>
      <c r="E6" s="458"/>
      <c r="F6" s="458"/>
      <c r="G6" s="458"/>
      <c r="H6" s="458"/>
      <c r="I6" s="458"/>
      <c r="J6" s="459"/>
    </row>
    <row r="7" spans="2:17" ht="15.75" thickBot="1" x14ac:dyDescent="0.3">
      <c r="B7" s="43" t="s">
        <v>38</v>
      </c>
      <c r="C7" s="457" t="str">
        <f>+Info!B19</f>
        <v>TR-8880-19709</v>
      </c>
      <c r="D7" s="458"/>
      <c r="E7" s="458"/>
      <c r="F7" s="458"/>
      <c r="G7" s="458"/>
      <c r="H7" s="458"/>
      <c r="I7" s="458"/>
      <c r="J7" s="459"/>
      <c r="K7" s="1"/>
    </row>
    <row r="8" spans="2:17" s="1" customFormat="1" ht="15.75" thickBot="1" x14ac:dyDescent="0.3">
      <c r="B8" s="7" t="s">
        <v>40</v>
      </c>
      <c r="C8" s="457" t="str">
        <f>+Info!B20</f>
        <v>kundenspezfische Hochvakuumkammer DN600 Horizontal Länge: 900 mm</v>
      </c>
      <c r="D8" s="458"/>
      <c r="E8" s="458"/>
      <c r="F8" s="458"/>
      <c r="G8" s="458"/>
      <c r="H8" s="458"/>
      <c r="I8" s="458"/>
      <c r="J8" s="459"/>
      <c r="K8"/>
    </row>
    <row r="9" spans="2:17" ht="15" customHeight="1" thickBot="1" x14ac:dyDescent="0.3">
      <c r="B9" s="71" t="s">
        <v>107</v>
      </c>
      <c r="C9" s="460">
        <f>+Info!B21</f>
        <v>0</v>
      </c>
      <c r="D9" s="461"/>
      <c r="E9" s="461"/>
      <c r="F9" s="461"/>
      <c r="G9" s="461"/>
      <c r="H9" s="461"/>
      <c r="I9" s="461"/>
      <c r="J9" s="462"/>
    </row>
    <row r="10" spans="2:17" ht="15.75" thickBot="1" x14ac:dyDescent="0.3">
      <c r="E10"/>
    </row>
    <row r="11" spans="2:17" ht="15.75" thickBot="1" x14ac:dyDescent="0.3">
      <c r="B11" s="495" t="s">
        <v>108</v>
      </c>
      <c r="C11" s="496"/>
      <c r="D11" s="496"/>
      <c r="E11" s="496"/>
      <c r="F11" s="496"/>
      <c r="G11" s="496"/>
      <c r="H11" s="496"/>
      <c r="I11" s="496"/>
      <c r="J11" s="497"/>
      <c r="K11" s="2"/>
      <c r="L11" s="463" t="s">
        <v>109</v>
      </c>
      <c r="M11" s="464"/>
      <c r="N11" s="464"/>
      <c r="O11" s="464"/>
      <c r="P11" s="464"/>
      <c r="Q11" s="465"/>
    </row>
    <row r="12" spans="2:17" x14ac:dyDescent="0.25">
      <c r="B12" s="498"/>
      <c r="C12" s="500" t="s">
        <v>110</v>
      </c>
      <c r="D12" s="501"/>
      <c r="E12" s="501" t="s">
        <v>111</v>
      </c>
      <c r="F12" s="502"/>
      <c r="G12" s="503" t="s">
        <v>56</v>
      </c>
      <c r="H12" s="501"/>
      <c r="I12" s="186" t="s">
        <v>57</v>
      </c>
      <c r="J12" s="504" t="s">
        <v>78</v>
      </c>
      <c r="L12" s="466"/>
      <c r="M12" s="467"/>
      <c r="N12" s="467"/>
      <c r="O12" s="467"/>
      <c r="P12" s="467"/>
      <c r="Q12" s="468"/>
    </row>
    <row r="13" spans="2:17" ht="15.75" thickBot="1" x14ac:dyDescent="0.3">
      <c r="B13" s="499"/>
      <c r="C13" s="19" t="s">
        <v>112</v>
      </c>
      <c r="D13" s="20" t="s">
        <v>113</v>
      </c>
      <c r="E13" s="21" t="s">
        <v>112</v>
      </c>
      <c r="F13" s="80" t="s">
        <v>113</v>
      </c>
      <c r="G13" s="83" t="s">
        <v>112</v>
      </c>
      <c r="H13" s="20" t="s">
        <v>113</v>
      </c>
      <c r="I13" s="20" t="s">
        <v>113</v>
      </c>
      <c r="J13" s="505"/>
      <c r="L13" s="466"/>
      <c r="M13" s="467"/>
      <c r="N13" s="467"/>
      <c r="O13" s="467"/>
      <c r="P13" s="467"/>
      <c r="Q13" s="468"/>
    </row>
    <row r="14" spans="2:17" x14ac:dyDescent="0.25">
      <c r="B14" s="229"/>
      <c r="C14" s="36">
        <v>0</v>
      </c>
      <c r="D14" s="37">
        <f>+C14*46</f>
        <v>0</v>
      </c>
      <c r="E14" s="36">
        <v>1</v>
      </c>
      <c r="F14" s="81">
        <f>E14*46</f>
        <v>46</v>
      </c>
      <c r="G14" s="84">
        <v>0</v>
      </c>
      <c r="H14" s="38">
        <v>0</v>
      </c>
      <c r="I14" s="38">
        <v>0</v>
      </c>
      <c r="J14" s="85">
        <f>+D14+F14+H14+I14</f>
        <v>46</v>
      </c>
      <c r="L14" s="466"/>
      <c r="M14" s="467"/>
      <c r="N14" s="467"/>
      <c r="O14" s="467"/>
      <c r="P14" s="467"/>
      <c r="Q14" s="468"/>
    </row>
    <row r="15" spans="2:17" x14ac:dyDescent="0.25">
      <c r="B15" s="223"/>
      <c r="C15" s="34">
        <v>0</v>
      </c>
      <c r="D15" s="37">
        <f t="shared" ref="D15:D23" si="0">+C15*46</f>
        <v>0</v>
      </c>
      <c r="E15" s="34">
        <v>0</v>
      </c>
      <c r="F15" s="81">
        <f t="shared" ref="F15:F23" si="1">E15*46</f>
        <v>0</v>
      </c>
      <c r="G15" s="84">
        <v>0</v>
      </c>
      <c r="H15" s="35">
        <v>0</v>
      </c>
      <c r="I15" s="35">
        <v>0</v>
      </c>
      <c r="J15" s="85">
        <f t="shared" ref="J15:J23" si="2">+D15+F15+H15+I15</f>
        <v>0</v>
      </c>
      <c r="L15" s="466"/>
      <c r="M15" s="467"/>
      <c r="N15" s="467"/>
      <c r="O15" s="467"/>
      <c r="P15" s="467"/>
      <c r="Q15" s="468"/>
    </row>
    <row r="16" spans="2:17" x14ac:dyDescent="0.25">
      <c r="B16" s="223"/>
      <c r="C16" s="34">
        <v>0</v>
      </c>
      <c r="D16" s="37">
        <f t="shared" si="0"/>
        <v>0</v>
      </c>
      <c r="E16" s="34">
        <v>0</v>
      </c>
      <c r="F16" s="81">
        <f t="shared" si="1"/>
        <v>0</v>
      </c>
      <c r="G16" s="84">
        <v>0</v>
      </c>
      <c r="H16" s="35">
        <v>0</v>
      </c>
      <c r="I16" s="35">
        <v>0</v>
      </c>
      <c r="J16" s="85">
        <f t="shared" si="2"/>
        <v>0</v>
      </c>
      <c r="K16" s="1"/>
      <c r="L16" s="466"/>
      <c r="M16" s="467"/>
      <c r="N16" s="467"/>
      <c r="O16" s="467"/>
      <c r="P16" s="467"/>
      <c r="Q16" s="468"/>
    </row>
    <row r="17" spans="2:17" x14ac:dyDescent="0.25">
      <c r="B17" s="223"/>
      <c r="C17" s="34">
        <v>0</v>
      </c>
      <c r="D17" s="37">
        <f t="shared" si="0"/>
        <v>0</v>
      </c>
      <c r="E17" s="34">
        <v>0</v>
      </c>
      <c r="F17" s="81">
        <f t="shared" si="1"/>
        <v>0</v>
      </c>
      <c r="G17" s="84">
        <v>0</v>
      </c>
      <c r="H17" s="35">
        <v>0</v>
      </c>
      <c r="I17" s="35">
        <v>0</v>
      </c>
      <c r="J17" s="85">
        <f t="shared" si="2"/>
        <v>0</v>
      </c>
      <c r="L17" s="466"/>
      <c r="M17" s="467"/>
      <c r="N17" s="467"/>
      <c r="O17" s="467"/>
      <c r="P17" s="467"/>
      <c r="Q17" s="468"/>
    </row>
    <row r="18" spans="2:17" x14ac:dyDescent="0.25">
      <c r="B18" s="223"/>
      <c r="C18" s="34">
        <v>0</v>
      </c>
      <c r="D18" s="37">
        <f t="shared" si="0"/>
        <v>0</v>
      </c>
      <c r="E18" s="34">
        <v>0</v>
      </c>
      <c r="F18" s="81">
        <f t="shared" si="1"/>
        <v>0</v>
      </c>
      <c r="G18" s="84">
        <v>0</v>
      </c>
      <c r="H18" s="35">
        <v>0</v>
      </c>
      <c r="I18" s="35">
        <v>0</v>
      </c>
      <c r="J18" s="85">
        <f t="shared" si="2"/>
        <v>0</v>
      </c>
      <c r="L18" s="466"/>
      <c r="M18" s="467"/>
      <c r="N18" s="467"/>
      <c r="O18" s="467"/>
      <c r="P18" s="467"/>
      <c r="Q18" s="468"/>
    </row>
    <row r="19" spans="2:17" ht="14.25" customHeight="1" x14ac:dyDescent="0.25">
      <c r="B19" s="223"/>
      <c r="C19" s="34">
        <v>0</v>
      </c>
      <c r="D19" s="37">
        <f t="shared" si="0"/>
        <v>0</v>
      </c>
      <c r="E19" s="34">
        <v>0</v>
      </c>
      <c r="F19" s="81">
        <f t="shared" si="1"/>
        <v>0</v>
      </c>
      <c r="G19" s="84">
        <v>0</v>
      </c>
      <c r="H19" s="35">
        <v>0</v>
      </c>
      <c r="I19" s="35">
        <v>0</v>
      </c>
      <c r="J19" s="85">
        <f t="shared" si="2"/>
        <v>0</v>
      </c>
      <c r="L19" s="466"/>
      <c r="M19" s="467"/>
      <c r="N19" s="467"/>
      <c r="O19" s="467"/>
      <c r="P19" s="467"/>
      <c r="Q19" s="468"/>
    </row>
    <row r="20" spans="2:17" ht="14.25" customHeight="1" x14ac:dyDescent="0.25">
      <c r="B20" s="223"/>
      <c r="C20" s="34">
        <v>0</v>
      </c>
      <c r="D20" s="37">
        <f t="shared" si="0"/>
        <v>0</v>
      </c>
      <c r="E20" s="34">
        <v>0</v>
      </c>
      <c r="F20" s="81">
        <f t="shared" si="1"/>
        <v>0</v>
      </c>
      <c r="G20" s="84">
        <v>0</v>
      </c>
      <c r="H20" s="35">
        <v>0</v>
      </c>
      <c r="I20" s="35">
        <v>0</v>
      </c>
      <c r="J20" s="85">
        <f t="shared" si="2"/>
        <v>0</v>
      </c>
      <c r="K20" s="2"/>
      <c r="L20" s="466"/>
      <c r="M20" s="467"/>
      <c r="N20" s="467"/>
      <c r="O20" s="467"/>
      <c r="P20" s="467"/>
      <c r="Q20" s="468"/>
    </row>
    <row r="21" spans="2:17" x14ac:dyDescent="0.25">
      <c r="B21" s="223"/>
      <c r="C21" s="34">
        <v>0</v>
      </c>
      <c r="D21" s="37">
        <f t="shared" si="0"/>
        <v>0</v>
      </c>
      <c r="E21" s="34">
        <v>0</v>
      </c>
      <c r="F21" s="81">
        <f t="shared" si="1"/>
        <v>0</v>
      </c>
      <c r="G21" s="84">
        <v>0</v>
      </c>
      <c r="H21" s="35">
        <v>0</v>
      </c>
      <c r="I21" s="35">
        <v>0</v>
      </c>
      <c r="J21" s="85">
        <f t="shared" si="2"/>
        <v>0</v>
      </c>
      <c r="L21" s="466"/>
      <c r="M21" s="467"/>
      <c r="N21" s="467"/>
      <c r="O21" s="467"/>
      <c r="P21" s="467"/>
      <c r="Q21" s="468"/>
    </row>
    <row r="22" spans="2:17" x14ac:dyDescent="0.25">
      <c r="B22" s="223"/>
      <c r="C22" s="34">
        <v>0</v>
      </c>
      <c r="D22" s="37">
        <f t="shared" si="0"/>
        <v>0</v>
      </c>
      <c r="E22" s="34">
        <v>0</v>
      </c>
      <c r="F22" s="81">
        <f t="shared" si="1"/>
        <v>0</v>
      </c>
      <c r="G22" s="84">
        <v>0</v>
      </c>
      <c r="H22" s="35">
        <v>0</v>
      </c>
      <c r="I22" s="35">
        <v>0</v>
      </c>
      <c r="J22" s="85">
        <f t="shared" si="2"/>
        <v>0</v>
      </c>
      <c r="L22" s="466"/>
      <c r="M22" s="467"/>
      <c r="N22" s="467"/>
      <c r="O22" s="467"/>
      <c r="P22" s="467"/>
      <c r="Q22" s="468"/>
    </row>
    <row r="23" spans="2:17" x14ac:dyDescent="0.25">
      <c r="B23" s="223"/>
      <c r="C23" s="34">
        <v>0</v>
      </c>
      <c r="D23" s="37">
        <f t="shared" si="0"/>
        <v>0</v>
      </c>
      <c r="E23" s="34">
        <v>0</v>
      </c>
      <c r="F23" s="81">
        <f t="shared" si="1"/>
        <v>0</v>
      </c>
      <c r="G23" s="86">
        <v>0</v>
      </c>
      <c r="H23" s="35">
        <v>0</v>
      </c>
      <c r="I23" s="35">
        <v>0</v>
      </c>
      <c r="J23" s="85">
        <f t="shared" si="2"/>
        <v>0</v>
      </c>
      <c r="L23" s="466"/>
      <c r="M23" s="467"/>
      <c r="N23" s="467"/>
      <c r="O23" s="467"/>
      <c r="P23" s="467"/>
      <c r="Q23" s="468"/>
    </row>
    <row r="24" spans="2:17" ht="15.75" thickBot="1" x14ac:dyDescent="0.3">
      <c r="B24" s="33" t="s">
        <v>78</v>
      </c>
      <c r="C24" s="54">
        <f t="shared" ref="C24:I24" si="3">SUM(C14:C23)</f>
        <v>0</v>
      </c>
      <c r="D24" s="55">
        <f t="shared" si="3"/>
        <v>0</v>
      </c>
      <c r="E24" s="54">
        <f t="shared" si="3"/>
        <v>1</v>
      </c>
      <c r="F24" s="82">
        <f t="shared" si="3"/>
        <v>46</v>
      </c>
      <c r="G24" s="87">
        <f t="shared" si="3"/>
        <v>0</v>
      </c>
      <c r="H24" s="55">
        <f t="shared" si="3"/>
        <v>0</v>
      </c>
      <c r="I24" s="56">
        <f t="shared" si="3"/>
        <v>0</v>
      </c>
      <c r="J24" s="57">
        <f>(D24+F24+H24+I24)</f>
        <v>46</v>
      </c>
      <c r="L24" s="469"/>
      <c r="M24" s="470"/>
      <c r="N24" s="470"/>
      <c r="O24" s="470"/>
      <c r="P24" s="470"/>
      <c r="Q24" s="471"/>
    </row>
    <row r="25" spans="2:17" ht="15.75" thickBot="1" x14ac:dyDescent="0.3">
      <c r="B25" s="114"/>
      <c r="C25" s="115"/>
      <c r="D25" s="116"/>
      <c r="E25" s="117"/>
      <c r="F25" s="118"/>
      <c r="G25" s="119"/>
    </row>
    <row r="26" spans="2:17" x14ac:dyDescent="0.25">
      <c r="B26" s="121" t="s">
        <v>55</v>
      </c>
      <c r="C26" s="134" t="s">
        <v>114</v>
      </c>
      <c r="D26" s="122" t="s">
        <v>79</v>
      </c>
      <c r="E26" s="134" t="s">
        <v>115</v>
      </c>
      <c r="F26" s="26"/>
      <c r="G26" s="104"/>
      <c r="L26" s="463" t="s">
        <v>116</v>
      </c>
      <c r="M26" s="464"/>
      <c r="N26" s="464"/>
      <c r="O26" s="464"/>
      <c r="P26" s="464"/>
      <c r="Q26" s="465"/>
    </row>
    <row r="27" spans="2:17" ht="15.75" thickBot="1" x14ac:dyDescent="0.3">
      <c r="B27" s="42" t="s">
        <v>112</v>
      </c>
      <c r="C27" s="133" t="s">
        <v>113</v>
      </c>
      <c r="D27" s="100" t="s">
        <v>112</v>
      </c>
      <c r="E27" s="133" t="s">
        <v>113</v>
      </c>
      <c r="F27" s="26"/>
      <c r="G27" s="104"/>
      <c r="L27" s="466"/>
      <c r="M27" s="467"/>
      <c r="N27" s="467"/>
      <c r="O27" s="467"/>
      <c r="P27" s="467"/>
      <c r="Q27" s="468"/>
    </row>
    <row r="28" spans="2:17" ht="15.75" thickBot="1" x14ac:dyDescent="0.3">
      <c r="B28" s="105"/>
      <c r="C28" s="106">
        <f>B28*46</f>
        <v>0</v>
      </c>
      <c r="D28" s="107">
        <v>1</v>
      </c>
      <c r="E28" s="108">
        <f>D28*46</f>
        <v>46</v>
      </c>
      <c r="F28" s="26"/>
      <c r="G28" s="104"/>
      <c r="L28" s="469"/>
      <c r="M28" s="470"/>
      <c r="N28" s="470"/>
      <c r="O28" s="470"/>
      <c r="P28" s="470"/>
      <c r="Q28" s="471"/>
    </row>
    <row r="29" spans="2:17" ht="15.75" thickBot="1" x14ac:dyDescent="0.3">
      <c r="B29" s="101"/>
      <c r="C29" s="102"/>
      <c r="D29" s="103"/>
      <c r="E29" s="102"/>
      <c r="F29" s="103"/>
      <c r="G29" s="102"/>
    </row>
    <row r="30" spans="2:17" x14ac:dyDescent="0.25">
      <c r="B30" s="218" t="s">
        <v>117</v>
      </c>
      <c r="C30" s="219"/>
      <c r="D30" s="478"/>
      <c r="E30" s="479"/>
      <c r="F30" s="109"/>
      <c r="G30" s="110"/>
      <c r="L30" s="463" t="s">
        <v>118</v>
      </c>
      <c r="M30" s="464"/>
      <c r="N30" s="464"/>
      <c r="O30" s="464"/>
      <c r="P30" s="464"/>
      <c r="Q30" s="465"/>
    </row>
    <row r="31" spans="2:17" ht="15.75" thickBot="1" x14ac:dyDescent="0.3">
      <c r="B31" s="221" t="s">
        <v>119</v>
      </c>
      <c r="C31" s="99" t="s">
        <v>120</v>
      </c>
      <c r="D31" s="517" t="s">
        <v>43</v>
      </c>
      <c r="E31" s="518"/>
      <c r="F31" s="222" t="s">
        <v>121</v>
      </c>
      <c r="G31" s="227" t="s">
        <v>122</v>
      </c>
      <c r="L31" s="466"/>
      <c r="M31" s="467"/>
      <c r="N31" s="467"/>
      <c r="O31" s="467"/>
      <c r="P31" s="467"/>
      <c r="Q31" s="468"/>
    </row>
    <row r="32" spans="2:17" x14ac:dyDescent="0.25">
      <c r="B32" s="229"/>
      <c r="C32" s="220"/>
      <c r="D32" s="519"/>
      <c r="E32" s="520"/>
      <c r="F32" s="225">
        <v>0</v>
      </c>
      <c r="G32" s="228"/>
      <c r="L32" s="466"/>
      <c r="M32" s="467"/>
      <c r="N32" s="467"/>
      <c r="O32" s="467"/>
      <c r="P32" s="467"/>
      <c r="Q32" s="468"/>
    </row>
    <row r="33" spans="2:17" x14ac:dyDescent="0.25">
      <c r="B33" s="40"/>
      <c r="C33" s="39"/>
      <c r="D33" s="480"/>
      <c r="E33" s="481"/>
      <c r="F33" s="226"/>
      <c r="G33" s="158"/>
      <c r="L33" s="466"/>
      <c r="M33" s="467"/>
      <c r="N33" s="467"/>
      <c r="O33" s="467"/>
      <c r="P33" s="467"/>
      <c r="Q33" s="468"/>
    </row>
    <row r="34" spans="2:17" x14ac:dyDescent="0.25">
      <c r="B34" s="40"/>
      <c r="C34" s="39"/>
      <c r="D34" s="480"/>
      <c r="E34" s="481"/>
      <c r="F34" s="226"/>
      <c r="G34" s="158"/>
      <c r="K34" s="1"/>
      <c r="L34" s="466"/>
      <c r="M34" s="467"/>
      <c r="N34" s="467"/>
      <c r="O34" s="467"/>
      <c r="P34" s="467"/>
      <c r="Q34" s="468"/>
    </row>
    <row r="35" spans="2:17" x14ac:dyDescent="0.25">
      <c r="B35" s="40"/>
      <c r="C35" s="39"/>
      <c r="D35" s="480"/>
      <c r="E35" s="481"/>
      <c r="F35" s="226"/>
      <c r="G35" s="158"/>
      <c r="L35" s="466"/>
      <c r="M35" s="467"/>
      <c r="N35" s="467"/>
      <c r="O35" s="467"/>
      <c r="P35" s="467"/>
      <c r="Q35" s="468"/>
    </row>
    <row r="36" spans="2:17" x14ac:dyDescent="0.25">
      <c r="B36" s="40"/>
      <c r="C36" s="39"/>
      <c r="D36" s="480"/>
      <c r="E36" s="481"/>
      <c r="F36" s="226"/>
      <c r="G36" s="158"/>
      <c r="L36" s="466"/>
      <c r="M36" s="467"/>
      <c r="N36" s="467"/>
      <c r="O36" s="467"/>
      <c r="P36" s="467"/>
      <c r="Q36" s="468"/>
    </row>
    <row r="37" spans="2:17" x14ac:dyDescent="0.25">
      <c r="B37" s="40"/>
      <c r="C37" s="39"/>
      <c r="D37" s="480"/>
      <c r="E37" s="481"/>
      <c r="F37" s="226"/>
      <c r="G37" s="158"/>
      <c r="L37" s="466"/>
      <c r="M37" s="467"/>
      <c r="N37" s="467"/>
      <c r="O37" s="467"/>
      <c r="P37" s="467"/>
      <c r="Q37" s="468"/>
    </row>
    <row r="38" spans="2:17" x14ac:dyDescent="0.25">
      <c r="B38" s="53"/>
      <c r="C38" s="39"/>
      <c r="D38" s="480"/>
      <c r="E38" s="481"/>
      <c r="F38" s="226"/>
      <c r="G38" s="158"/>
      <c r="L38" s="466"/>
      <c r="M38" s="467"/>
      <c r="N38" s="467"/>
      <c r="O38" s="467"/>
      <c r="P38" s="467"/>
      <c r="Q38" s="468"/>
    </row>
    <row r="39" spans="2:17" x14ac:dyDescent="0.25">
      <c r="B39" s="40"/>
      <c r="C39" s="39"/>
      <c r="D39" s="480"/>
      <c r="E39" s="481"/>
      <c r="F39" s="226"/>
      <c r="G39" s="158"/>
      <c r="L39" s="466"/>
      <c r="M39" s="467"/>
      <c r="N39" s="467"/>
      <c r="O39" s="467"/>
      <c r="P39" s="467"/>
      <c r="Q39" s="468"/>
    </row>
    <row r="40" spans="2:17" x14ac:dyDescent="0.25">
      <c r="B40" s="53"/>
      <c r="C40" s="39"/>
      <c r="D40" s="480"/>
      <c r="E40" s="481"/>
      <c r="F40" s="226"/>
      <c r="G40" s="158"/>
      <c r="L40" s="466"/>
      <c r="M40" s="467"/>
      <c r="N40" s="467"/>
      <c r="O40" s="467"/>
      <c r="P40" s="467"/>
      <c r="Q40" s="468"/>
    </row>
    <row r="41" spans="2:17" x14ac:dyDescent="0.25">
      <c r="B41" s="40"/>
      <c r="C41" s="39"/>
      <c r="D41" s="480"/>
      <c r="E41" s="481"/>
      <c r="F41" s="226"/>
      <c r="G41" s="158"/>
      <c r="L41" s="466"/>
      <c r="M41" s="467"/>
      <c r="N41" s="467"/>
      <c r="O41" s="467"/>
      <c r="P41" s="467"/>
      <c r="Q41" s="468"/>
    </row>
    <row r="42" spans="2:17" x14ac:dyDescent="0.25">
      <c r="B42" s="40"/>
      <c r="C42" s="39"/>
      <c r="D42" s="480"/>
      <c r="E42" s="481"/>
      <c r="F42" s="226"/>
      <c r="G42" s="158"/>
      <c r="L42" s="466"/>
      <c r="M42" s="467"/>
      <c r="N42" s="467"/>
      <c r="O42" s="467"/>
      <c r="P42" s="467"/>
      <c r="Q42" s="468"/>
    </row>
    <row r="43" spans="2:17" x14ac:dyDescent="0.25">
      <c r="B43" s="53"/>
      <c r="C43" s="39"/>
      <c r="D43" s="480"/>
      <c r="E43" s="481"/>
      <c r="F43" s="226"/>
      <c r="G43" s="158"/>
      <c r="K43" s="1"/>
      <c r="L43" s="466"/>
      <c r="M43" s="467"/>
      <c r="N43" s="467"/>
      <c r="O43" s="467"/>
      <c r="P43" s="467"/>
      <c r="Q43" s="468"/>
    </row>
    <row r="44" spans="2:17" x14ac:dyDescent="0.25">
      <c r="B44" s="40"/>
      <c r="C44" s="39"/>
      <c r="D44" s="480"/>
      <c r="E44" s="481"/>
      <c r="F44" s="226"/>
      <c r="G44" s="158"/>
      <c r="L44" s="466"/>
      <c r="M44" s="467"/>
      <c r="N44" s="467"/>
      <c r="O44" s="467"/>
      <c r="P44" s="467"/>
      <c r="Q44" s="468"/>
    </row>
    <row r="45" spans="2:17" x14ac:dyDescent="0.25">
      <c r="B45" s="40"/>
      <c r="C45" s="39"/>
      <c r="D45" s="480"/>
      <c r="E45" s="481"/>
      <c r="F45" s="226"/>
      <c r="G45" s="158"/>
      <c r="L45" s="466"/>
      <c r="M45" s="467"/>
      <c r="N45" s="467"/>
      <c r="O45" s="467"/>
      <c r="P45" s="467"/>
      <c r="Q45" s="468"/>
    </row>
    <row r="46" spans="2:17" ht="15.75" thickBot="1" x14ac:dyDescent="0.3">
      <c r="B46" s="230"/>
      <c r="C46" s="231"/>
      <c r="D46" s="506"/>
      <c r="E46" s="507"/>
      <c r="F46" s="232"/>
      <c r="G46" s="233"/>
      <c r="L46" s="466"/>
      <c r="M46" s="467"/>
      <c r="N46" s="467"/>
      <c r="O46" s="467"/>
      <c r="P46" s="467"/>
      <c r="Q46" s="468"/>
    </row>
    <row r="47" spans="2:17" ht="15.75" thickBot="1" x14ac:dyDescent="0.3">
      <c r="B47" s="120" t="s">
        <v>78</v>
      </c>
      <c r="C47" s="97"/>
      <c r="D47" s="97"/>
      <c r="E47" s="98"/>
      <c r="F47" s="132">
        <f>SUM(F32:F46)</f>
        <v>0</v>
      </c>
      <c r="G47" s="224" t="s">
        <v>123</v>
      </c>
      <c r="K47" s="2"/>
      <c r="L47" s="469"/>
      <c r="M47" s="470"/>
      <c r="N47" s="470"/>
      <c r="O47" s="470"/>
      <c r="P47" s="470"/>
      <c r="Q47" s="471"/>
    </row>
    <row r="48" spans="2:17" ht="15.75" thickBot="1" x14ac:dyDescent="0.3">
      <c r="B48" s="490"/>
      <c r="C48" s="491"/>
      <c r="D48" s="491"/>
      <c r="E48" s="491"/>
      <c r="F48" s="491"/>
      <c r="G48" s="491"/>
      <c r="H48" s="492"/>
      <c r="I48" s="492"/>
      <c r="J48" s="492"/>
      <c r="K48" s="1"/>
    </row>
    <row r="49" spans="2:19" ht="15.75" thickBot="1" x14ac:dyDescent="0.3">
      <c r="B49" s="111" t="s">
        <v>124</v>
      </c>
      <c r="C49" s="476" t="s">
        <v>125</v>
      </c>
      <c r="D49" s="477"/>
      <c r="E49" s="477"/>
      <c r="F49" s="477"/>
      <c r="G49" s="190" t="s">
        <v>126</v>
      </c>
      <c r="H49" s="487" t="s">
        <v>127</v>
      </c>
      <c r="I49" s="488"/>
      <c r="J49" s="489"/>
      <c r="K49" s="187"/>
      <c r="L49" s="484" t="s">
        <v>128</v>
      </c>
      <c r="M49" s="485"/>
      <c r="N49" s="486"/>
      <c r="P49" s="463" t="s">
        <v>129</v>
      </c>
      <c r="Q49" s="464"/>
      <c r="R49" s="464"/>
      <c r="S49" s="465"/>
    </row>
    <row r="50" spans="2:19" ht="31.7" customHeight="1" thickBot="1" x14ac:dyDescent="0.3">
      <c r="B50" s="113" t="s">
        <v>130</v>
      </c>
      <c r="C50" s="182" t="s">
        <v>131</v>
      </c>
      <c r="D50" s="112" t="s">
        <v>57</v>
      </c>
      <c r="E50" s="112" t="s">
        <v>132</v>
      </c>
      <c r="F50" s="112" t="s">
        <v>133</v>
      </c>
      <c r="G50" s="187" t="s">
        <v>131</v>
      </c>
      <c r="H50" s="207" t="s">
        <v>131</v>
      </c>
      <c r="I50" s="208" t="s">
        <v>57</v>
      </c>
      <c r="J50" s="209" t="s">
        <v>132</v>
      </c>
      <c r="K50" s="187" t="s">
        <v>134</v>
      </c>
      <c r="L50" s="216" t="s">
        <v>135</v>
      </c>
      <c r="M50" s="217" t="s">
        <v>136</v>
      </c>
      <c r="N50" s="205" t="s">
        <v>137</v>
      </c>
      <c r="P50" s="466"/>
      <c r="Q50" s="467"/>
      <c r="R50" s="467"/>
      <c r="S50" s="468"/>
    </row>
    <row r="51" spans="2:19" x14ac:dyDescent="0.25">
      <c r="B51" s="180" t="s">
        <v>138</v>
      </c>
      <c r="C51" s="335"/>
      <c r="D51" s="336">
        <v>4708</v>
      </c>
      <c r="E51" s="184">
        <f>SUM(C51:D51)</f>
        <v>4708</v>
      </c>
      <c r="F51" s="336">
        <f>G51</f>
        <v>1050</v>
      </c>
      <c r="G51" s="337">
        <v>1050</v>
      </c>
      <c r="H51" s="206">
        <v>0</v>
      </c>
      <c r="I51" s="206">
        <v>0</v>
      </c>
      <c r="J51" s="297">
        <f>SUM(H51:I51)</f>
        <v>0</v>
      </c>
      <c r="K51" s="191" t="s">
        <v>139</v>
      </c>
      <c r="L51" s="194">
        <f>IF(AND(G51&gt;0,OR(C51&gt;0,F51&gt;0,H51&gt;0)),(G51-F51)/G51,"")</f>
        <v>0</v>
      </c>
      <c r="M51" s="193">
        <f>IF(G51&gt;0,(IF(C51&gt;0,C51,H51))/G51,"")</f>
        <v>0</v>
      </c>
      <c r="N51" s="195" t="str">
        <f>IF(L51=100%,G51-(IF(C51&gt;0,C51,H51)),"")</f>
        <v/>
      </c>
      <c r="P51" s="466"/>
      <c r="Q51" s="467"/>
      <c r="R51" s="467"/>
      <c r="S51" s="468"/>
    </row>
    <row r="52" spans="2:19" x14ac:dyDescent="0.25">
      <c r="B52" s="180" t="s">
        <v>140</v>
      </c>
      <c r="C52" s="338"/>
      <c r="D52" s="339"/>
      <c r="E52" s="185">
        <f t="shared" ref="E52:E61" si="4">SUM(C52:D52)</f>
        <v>0</v>
      </c>
      <c r="F52" s="339">
        <f>G52-745</f>
        <v>0</v>
      </c>
      <c r="G52" s="337">
        <v>745</v>
      </c>
      <c r="H52" s="206">
        <v>809</v>
      </c>
      <c r="I52" s="206">
        <v>0</v>
      </c>
      <c r="J52" s="297">
        <f t="shared" ref="J52:J61" si="5">SUM(H52:I52)</f>
        <v>809</v>
      </c>
      <c r="K52" s="191" t="s">
        <v>141</v>
      </c>
      <c r="L52" s="194">
        <f t="shared" ref="L52:L60" si="6">IF(AND(G52&gt;0,OR(C52&gt;0,F52&gt;0,H52&gt;0)),(G52-F52)/G52,"")</f>
        <v>1</v>
      </c>
      <c r="M52" s="193">
        <f t="shared" ref="M52:M60" si="7">IF(G52&gt;0,(IF(C52&gt;0,C52,H52))/G52,"")</f>
        <v>1.0859060402684564</v>
      </c>
      <c r="N52" s="195">
        <f t="shared" ref="N52:N60" si="8">IF(L52=100%,G52-(IF(C52&gt;0,C52,H52)),"")</f>
        <v>-64</v>
      </c>
      <c r="P52" s="466"/>
      <c r="Q52" s="467"/>
      <c r="R52" s="467"/>
      <c r="S52" s="468"/>
    </row>
    <row r="53" spans="2:19" x14ac:dyDescent="0.25">
      <c r="B53" s="180" t="s">
        <v>142</v>
      </c>
      <c r="C53" s="338">
        <v>200</v>
      </c>
      <c r="D53" s="339"/>
      <c r="E53" s="185">
        <v>0</v>
      </c>
      <c r="F53" s="339">
        <f>G53-160</f>
        <v>150</v>
      </c>
      <c r="G53" s="337">
        <v>310</v>
      </c>
      <c r="H53" s="206">
        <v>0</v>
      </c>
      <c r="I53" s="206">
        <v>0</v>
      </c>
      <c r="J53" s="297">
        <f t="shared" si="5"/>
        <v>0</v>
      </c>
      <c r="K53" s="191" t="s">
        <v>143</v>
      </c>
      <c r="L53" s="194">
        <f t="shared" si="6"/>
        <v>0.5161290322580645</v>
      </c>
      <c r="M53" s="193">
        <f t="shared" si="7"/>
        <v>0.64516129032258063</v>
      </c>
      <c r="N53" s="195" t="str">
        <f t="shared" si="8"/>
        <v/>
      </c>
      <c r="P53" s="466"/>
      <c r="Q53" s="467"/>
      <c r="R53" s="467"/>
      <c r="S53" s="468"/>
    </row>
    <row r="54" spans="2:19" x14ac:dyDescent="0.25">
      <c r="B54" s="180" t="s">
        <v>144</v>
      </c>
      <c r="C54" s="338"/>
      <c r="D54" s="339"/>
      <c r="E54" s="185">
        <v>0</v>
      </c>
      <c r="F54" s="339">
        <f>G54-G54</f>
        <v>0</v>
      </c>
      <c r="G54" s="337">
        <v>4004</v>
      </c>
      <c r="H54" s="206">
        <v>3899</v>
      </c>
      <c r="I54" s="206">
        <v>0</v>
      </c>
      <c r="J54" s="297">
        <f>SUM(H54:I54)</f>
        <v>3899</v>
      </c>
      <c r="K54" s="191" t="s">
        <v>145</v>
      </c>
      <c r="L54" s="194">
        <f>IF(AND(G54&gt;0,OR(C54&gt;0,F54&gt;0,H54&gt;0)),(G54-F54)/G54,"")</f>
        <v>1</v>
      </c>
      <c r="M54" s="193">
        <f>IF(G54&gt;0,(IF(C54&gt;0,C54,H54))/G54,"")</f>
        <v>0.97377622377622375</v>
      </c>
      <c r="N54" s="195">
        <f>IF(L54=100%,G54-(IF(C54&gt;0,C54,H54)),"")</f>
        <v>105</v>
      </c>
      <c r="P54" s="466"/>
      <c r="Q54" s="467"/>
      <c r="R54" s="467"/>
      <c r="S54" s="468"/>
    </row>
    <row r="55" spans="2:19" x14ac:dyDescent="0.25">
      <c r="B55" s="180" t="s">
        <v>146</v>
      </c>
      <c r="C55" s="338"/>
      <c r="D55" s="339"/>
      <c r="E55" s="185">
        <f t="shared" si="4"/>
        <v>0</v>
      </c>
      <c r="F55" s="339">
        <f>G55</f>
        <v>23</v>
      </c>
      <c r="G55" s="337">
        <v>23</v>
      </c>
      <c r="H55" s="206">
        <v>0</v>
      </c>
      <c r="I55" s="206">
        <v>0</v>
      </c>
      <c r="J55" s="297">
        <f t="shared" si="5"/>
        <v>0</v>
      </c>
      <c r="K55" s="191" t="s">
        <v>147</v>
      </c>
      <c r="L55" s="194">
        <f t="shared" si="6"/>
        <v>0</v>
      </c>
      <c r="M55" s="193">
        <f t="shared" si="7"/>
        <v>0</v>
      </c>
      <c r="N55" s="195" t="str">
        <f t="shared" si="8"/>
        <v/>
      </c>
      <c r="P55" s="466"/>
      <c r="Q55" s="467"/>
      <c r="R55" s="467"/>
      <c r="S55" s="468"/>
    </row>
    <row r="56" spans="2:19" x14ac:dyDescent="0.25">
      <c r="B56" s="180" t="s">
        <v>148</v>
      </c>
      <c r="C56" s="338">
        <v>8</v>
      </c>
      <c r="D56" s="339"/>
      <c r="E56" s="185">
        <f t="shared" si="4"/>
        <v>8</v>
      </c>
      <c r="F56" s="339">
        <f>G56-10</f>
        <v>1.5</v>
      </c>
      <c r="G56" s="337">
        <v>11.5</v>
      </c>
      <c r="H56" s="206">
        <v>0</v>
      </c>
      <c r="I56" s="206">
        <v>0</v>
      </c>
      <c r="J56" s="297">
        <f t="shared" si="5"/>
        <v>0</v>
      </c>
      <c r="K56" s="191" t="s">
        <v>149</v>
      </c>
      <c r="L56" s="194">
        <f t="shared" si="6"/>
        <v>0.86956521739130432</v>
      </c>
      <c r="M56" s="193">
        <f t="shared" si="7"/>
        <v>0.69565217391304346</v>
      </c>
      <c r="N56" s="195" t="str">
        <f t="shared" si="8"/>
        <v/>
      </c>
      <c r="P56" s="466"/>
      <c r="Q56" s="467"/>
      <c r="R56" s="467"/>
      <c r="S56" s="468"/>
    </row>
    <row r="57" spans="2:19" x14ac:dyDescent="0.25">
      <c r="B57" s="180" t="s">
        <v>150</v>
      </c>
      <c r="C57" s="338">
        <v>2000</v>
      </c>
      <c r="D57" s="339">
        <v>1000</v>
      </c>
      <c r="E57" s="185">
        <f t="shared" si="4"/>
        <v>3000</v>
      </c>
      <c r="F57" s="339">
        <f>G57-687</f>
        <v>322.34000000000003</v>
      </c>
      <c r="G57" s="337">
        <v>1009.34</v>
      </c>
      <c r="H57" s="206">
        <v>0</v>
      </c>
      <c r="I57" s="206">
        <v>0</v>
      </c>
      <c r="J57" s="297">
        <f t="shared" si="5"/>
        <v>0</v>
      </c>
      <c r="K57" s="191" t="s">
        <v>151</v>
      </c>
      <c r="L57" s="194">
        <f t="shared" si="6"/>
        <v>0.6806427962827194</v>
      </c>
      <c r="M57" s="193">
        <f t="shared" si="7"/>
        <v>1.9814928567182515</v>
      </c>
      <c r="N57" s="195" t="str">
        <f t="shared" si="8"/>
        <v/>
      </c>
      <c r="P57" s="466"/>
      <c r="Q57" s="467"/>
      <c r="R57" s="467"/>
      <c r="S57" s="468"/>
    </row>
    <row r="58" spans="2:19" x14ac:dyDescent="0.25">
      <c r="B58" s="180" t="s">
        <v>152</v>
      </c>
      <c r="C58" s="338"/>
      <c r="D58" s="339"/>
      <c r="E58" s="185">
        <f t="shared" si="4"/>
        <v>0</v>
      </c>
      <c r="F58" s="339">
        <f>G58+24</f>
        <v>101.03</v>
      </c>
      <c r="G58" s="337">
        <v>77.03</v>
      </c>
      <c r="H58" s="206">
        <v>0</v>
      </c>
      <c r="I58" s="206">
        <v>0</v>
      </c>
      <c r="J58" s="297">
        <f t="shared" si="5"/>
        <v>0</v>
      </c>
      <c r="K58" s="191" t="s">
        <v>153</v>
      </c>
      <c r="L58" s="194">
        <f t="shared" si="6"/>
        <v>-0.31156692197844993</v>
      </c>
      <c r="M58" s="193">
        <f t="shared" si="7"/>
        <v>0</v>
      </c>
      <c r="N58" s="195" t="str">
        <f t="shared" si="8"/>
        <v/>
      </c>
      <c r="P58" s="466"/>
      <c r="Q58" s="467"/>
      <c r="R58" s="467"/>
      <c r="S58" s="468"/>
    </row>
    <row r="59" spans="2:19" x14ac:dyDescent="0.25">
      <c r="B59" s="180" t="s">
        <v>154</v>
      </c>
      <c r="C59" s="338">
        <v>15.9</v>
      </c>
      <c r="D59" s="339"/>
      <c r="E59" s="185">
        <f t="shared" si="4"/>
        <v>15.9</v>
      </c>
      <c r="F59" s="339">
        <f>G59-18</f>
        <v>6.120000000000001</v>
      </c>
      <c r="G59" s="337">
        <v>24.12</v>
      </c>
      <c r="H59" s="206">
        <v>0</v>
      </c>
      <c r="I59" s="206">
        <v>0</v>
      </c>
      <c r="J59" s="297">
        <f t="shared" si="5"/>
        <v>0</v>
      </c>
      <c r="K59" s="191" t="s">
        <v>155</v>
      </c>
      <c r="L59" s="194">
        <f t="shared" si="6"/>
        <v>0.74626865671641784</v>
      </c>
      <c r="M59" s="193">
        <f t="shared" si="7"/>
        <v>0.65920398009950243</v>
      </c>
      <c r="N59" s="195" t="str">
        <f t="shared" si="8"/>
        <v/>
      </c>
      <c r="P59" s="466"/>
      <c r="Q59" s="467"/>
      <c r="R59" s="467"/>
      <c r="S59" s="468"/>
    </row>
    <row r="60" spans="2:19" x14ac:dyDescent="0.25">
      <c r="B60" s="180" t="s">
        <v>156</v>
      </c>
      <c r="C60" s="338">
        <v>12</v>
      </c>
      <c r="D60" s="339"/>
      <c r="E60" s="185">
        <f t="shared" si="4"/>
        <v>12</v>
      </c>
      <c r="F60" s="339">
        <v>0</v>
      </c>
      <c r="G60" s="337">
        <v>24.12</v>
      </c>
      <c r="H60" s="206">
        <v>0</v>
      </c>
      <c r="I60" s="206">
        <v>0</v>
      </c>
      <c r="J60" s="297">
        <f t="shared" si="5"/>
        <v>0</v>
      </c>
      <c r="K60" s="191" t="s">
        <v>157</v>
      </c>
      <c r="L60" s="194">
        <f t="shared" si="6"/>
        <v>1</v>
      </c>
      <c r="M60" s="193">
        <f t="shared" si="7"/>
        <v>0.49751243781094523</v>
      </c>
      <c r="N60" s="195">
        <f t="shared" si="8"/>
        <v>12.120000000000001</v>
      </c>
      <c r="P60" s="466"/>
      <c r="Q60" s="467"/>
      <c r="R60" s="467"/>
      <c r="S60" s="468"/>
    </row>
    <row r="61" spans="2:19" ht="12.75" customHeight="1" thickBot="1" x14ac:dyDescent="0.3">
      <c r="B61" s="181"/>
      <c r="C61" s="340"/>
      <c r="D61" s="341"/>
      <c r="E61" s="342">
        <f t="shared" si="4"/>
        <v>0</v>
      </c>
      <c r="F61" s="341"/>
      <c r="G61" s="343"/>
      <c r="H61" s="344">
        <v>0</v>
      </c>
      <c r="I61" s="345">
        <v>0</v>
      </c>
      <c r="J61" s="297">
        <f t="shared" si="5"/>
        <v>0</v>
      </c>
      <c r="K61" s="191"/>
      <c r="L61" s="196" t="str">
        <f>IF(AND(G61&gt;0,OR(C61&gt;0,F61&gt;0,H61&gt;0)),(G61-F61)/G61,"")</f>
        <v/>
      </c>
      <c r="M61" s="197" t="str">
        <f>IF(G61&gt;0,(IF(C61&gt;0,C61,H61))/G61,"")</f>
        <v/>
      </c>
      <c r="N61" s="198" t="str">
        <f>IF(L61=100%,G61-(IF(C61&gt;0,C61,H61)),"")</f>
        <v/>
      </c>
      <c r="P61" s="466"/>
      <c r="Q61" s="467"/>
      <c r="R61" s="467"/>
      <c r="S61" s="468"/>
    </row>
    <row r="62" spans="2:19" ht="15.75" thickBot="1" x14ac:dyDescent="0.3">
      <c r="B62" s="128"/>
      <c r="C62" s="179" t="s">
        <v>158</v>
      </c>
      <c r="D62" s="179" t="s">
        <v>159</v>
      </c>
      <c r="E62" s="179" t="s">
        <v>160</v>
      </c>
      <c r="F62" s="139"/>
      <c r="G62" s="188"/>
      <c r="H62" s="210"/>
      <c r="I62" s="211"/>
      <c r="J62" s="212"/>
      <c r="K62" s="187"/>
      <c r="L62" s="202"/>
      <c r="M62" s="203"/>
      <c r="N62" s="204"/>
      <c r="P62" s="466"/>
      <c r="Q62" s="467"/>
      <c r="R62" s="467"/>
      <c r="S62" s="468"/>
    </row>
    <row r="63" spans="2:19" ht="15.75" thickBot="1" x14ac:dyDescent="0.3">
      <c r="B63" s="129"/>
      <c r="C63" s="131">
        <f t="shared" ref="C63:J63" si="9">SUM(C51:C61)</f>
        <v>2235.9</v>
      </c>
      <c r="D63" s="131">
        <f t="shared" si="9"/>
        <v>5708</v>
      </c>
      <c r="E63" s="131">
        <f t="shared" si="9"/>
        <v>7743.9</v>
      </c>
      <c r="F63" s="189">
        <f t="shared" si="9"/>
        <v>1653.99</v>
      </c>
      <c r="G63" s="192">
        <f t="shared" si="9"/>
        <v>7278.11</v>
      </c>
      <c r="H63" s="213">
        <f t="shared" si="9"/>
        <v>4708</v>
      </c>
      <c r="I63" s="214">
        <f t="shared" si="9"/>
        <v>0</v>
      </c>
      <c r="J63" s="215">
        <f t="shared" si="9"/>
        <v>4708</v>
      </c>
      <c r="K63" s="187"/>
      <c r="L63" s="201">
        <f>(G63-F63)/G63</f>
        <v>0.77274457242333516</v>
      </c>
      <c r="M63" s="200">
        <f>(C63+H63)/G63</f>
        <v>0.95408011145750748</v>
      </c>
      <c r="N63" s="199">
        <f>SUM(N31:N61)</f>
        <v>53.120000000000005</v>
      </c>
      <c r="P63" s="469"/>
      <c r="Q63" s="470"/>
      <c r="R63" s="470"/>
      <c r="S63" s="471"/>
    </row>
    <row r="64" spans="2:19" ht="15.75" customHeight="1" thickBot="1" x14ac:dyDescent="0.3"/>
    <row r="65" spans="1:16" ht="15.75" customHeight="1" x14ac:dyDescent="0.25">
      <c r="B65" s="124"/>
      <c r="C65" s="68"/>
      <c r="D65" s="68"/>
      <c r="E65" s="127"/>
      <c r="F65" s="68"/>
      <c r="G65" s="68"/>
      <c r="H65" s="68"/>
      <c r="I65" s="68"/>
      <c r="J65" s="125"/>
      <c r="L65" s="463" t="s">
        <v>161</v>
      </c>
      <c r="M65" s="464"/>
      <c r="N65" s="464"/>
      <c r="O65" s="464"/>
      <c r="P65" s="465"/>
    </row>
    <row r="66" spans="1:16" ht="15.75" thickBot="1" x14ac:dyDescent="0.3">
      <c r="B66" s="67" t="s">
        <v>162</v>
      </c>
      <c r="C66" s="141" t="s">
        <v>163</v>
      </c>
      <c r="D66" s="155"/>
      <c r="E66" s="141" t="s">
        <v>113</v>
      </c>
      <c r="F66" s="142" t="s">
        <v>164</v>
      </c>
      <c r="G66" s="143" t="s">
        <v>119</v>
      </c>
      <c r="H66" s="123"/>
      <c r="I66" s="123"/>
      <c r="J66" s="126"/>
      <c r="L66" s="466"/>
      <c r="M66" s="467"/>
      <c r="N66" s="467"/>
      <c r="O66" s="467"/>
      <c r="P66" s="468"/>
    </row>
    <row r="67" spans="1:16" x14ac:dyDescent="0.25">
      <c r="B67" s="72"/>
      <c r="C67" s="88"/>
      <c r="D67" s="89"/>
      <c r="E67" s="96"/>
      <c r="F67" s="72"/>
      <c r="G67" s="493"/>
      <c r="H67" s="493"/>
      <c r="I67" s="493"/>
      <c r="J67" s="494"/>
      <c r="L67" s="466"/>
      <c r="M67" s="467"/>
      <c r="N67" s="467"/>
      <c r="O67" s="467"/>
      <c r="P67" s="468"/>
    </row>
    <row r="68" spans="1:16" x14ac:dyDescent="0.25">
      <c r="B68" s="58"/>
      <c r="C68" s="59"/>
      <c r="D68" s="59"/>
      <c r="E68" s="60"/>
      <c r="F68" s="58"/>
      <c r="G68" s="482"/>
      <c r="H68" s="482"/>
      <c r="I68" s="482"/>
      <c r="J68" s="483"/>
      <c r="L68" s="466"/>
      <c r="M68" s="467"/>
      <c r="N68" s="467"/>
      <c r="O68" s="467"/>
      <c r="P68" s="468"/>
    </row>
    <row r="69" spans="1:16" x14ac:dyDescent="0.25">
      <c r="B69" s="58"/>
      <c r="C69" s="59"/>
      <c r="D69" s="59"/>
      <c r="E69" s="60"/>
      <c r="F69" s="58"/>
      <c r="G69" s="482"/>
      <c r="H69" s="482"/>
      <c r="I69" s="482"/>
      <c r="J69" s="483"/>
      <c r="L69" s="466"/>
      <c r="M69" s="467"/>
      <c r="N69" s="467"/>
      <c r="O69" s="467"/>
      <c r="P69" s="468"/>
    </row>
    <row r="70" spans="1:16" x14ac:dyDescent="0.25">
      <c r="B70" s="58"/>
      <c r="C70" s="59"/>
      <c r="D70" s="59"/>
      <c r="E70" s="60"/>
      <c r="F70" s="58"/>
      <c r="G70" s="482"/>
      <c r="H70" s="482"/>
      <c r="I70" s="482"/>
      <c r="J70" s="483"/>
      <c r="L70" s="466"/>
      <c r="M70" s="467"/>
      <c r="N70" s="467"/>
      <c r="O70" s="467"/>
      <c r="P70" s="468"/>
    </row>
    <row r="71" spans="1:16" x14ac:dyDescent="0.25">
      <c r="B71" s="58"/>
      <c r="C71" s="59"/>
      <c r="D71" s="59"/>
      <c r="E71" s="60"/>
      <c r="F71" s="58"/>
      <c r="G71" s="482"/>
      <c r="H71" s="482"/>
      <c r="I71" s="482"/>
      <c r="J71" s="483"/>
      <c r="L71" s="466"/>
      <c r="M71" s="467"/>
      <c r="N71" s="467"/>
      <c r="O71" s="467"/>
      <c r="P71" s="468"/>
    </row>
    <row r="72" spans="1:16" x14ac:dyDescent="0.25">
      <c r="B72" s="58"/>
      <c r="C72" s="59"/>
      <c r="D72" s="59"/>
      <c r="E72" s="60"/>
      <c r="F72" s="58"/>
      <c r="G72" s="482"/>
      <c r="H72" s="482"/>
      <c r="I72" s="482"/>
      <c r="J72" s="483"/>
      <c r="L72" s="466"/>
      <c r="M72" s="467"/>
      <c r="N72" s="467"/>
      <c r="O72" s="467"/>
      <c r="P72" s="468"/>
    </row>
    <row r="73" spans="1:16" x14ac:dyDescent="0.25">
      <c r="B73" s="61"/>
      <c r="C73" s="62"/>
      <c r="D73" s="62"/>
      <c r="E73" s="63"/>
      <c r="F73" s="61"/>
      <c r="G73" s="482"/>
      <c r="H73" s="482"/>
      <c r="I73" s="482"/>
      <c r="J73" s="483"/>
      <c r="L73" s="466"/>
      <c r="M73" s="467"/>
      <c r="N73" s="467"/>
      <c r="O73" s="467"/>
      <c r="P73" s="468"/>
    </row>
    <row r="74" spans="1:16" ht="15.75" thickBot="1" x14ac:dyDescent="0.3">
      <c r="B74" s="64"/>
      <c r="C74" s="65"/>
      <c r="D74" s="65"/>
      <c r="E74" s="66"/>
      <c r="F74" s="61"/>
      <c r="G74" s="472"/>
      <c r="H74" s="472"/>
      <c r="I74" s="472"/>
      <c r="J74" s="473"/>
      <c r="L74" s="466"/>
      <c r="M74" s="467"/>
      <c r="N74" s="467"/>
      <c r="O74" s="467"/>
      <c r="P74" s="468"/>
    </row>
    <row r="75" spans="1:16" ht="15.75" thickBot="1" x14ac:dyDescent="0.3">
      <c r="C75" s="137" t="s">
        <v>78</v>
      </c>
      <c r="D75" s="140"/>
      <c r="E75" s="138">
        <f>+SUM(E67:E74)</f>
        <v>0</v>
      </c>
      <c r="F75" s="136" t="s">
        <v>165</v>
      </c>
      <c r="G75" s="474"/>
      <c r="H75" s="474"/>
      <c r="I75" s="474"/>
      <c r="J75" s="475"/>
      <c r="L75" s="469"/>
      <c r="M75" s="470"/>
      <c r="N75" s="470"/>
      <c r="O75" s="470"/>
      <c r="P75" s="471"/>
    </row>
    <row r="76" spans="1:16" ht="15.75" thickBot="1" x14ac:dyDescent="0.3"/>
    <row r="77" spans="1:16" x14ac:dyDescent="0.25">
      <c r="B77" s="14" t="s">
        <v>166</v>
      </c>
      <c r="C77" s="6" t="s">
        <v>76</v>
      </c>
      <c r="D77" s="6" t="s">
        <v>77</v>
      </c>
      <c r="E77" s="15" t="s">
        <v>167</v>
      </c>
      <c r="L77" s="463" t="s">
        <v>168</v>
      </c>
      <c r="M77" s="464"/>
      <c r="N77" s="464"/>
      <c r="O77" s="464"/>
      <c r="P77" s="465"/>
    </row>
    <row r="78" spans="1:16" x14ac:dyDescent="0.25">
      <c r="A78" s="130" t="s">
        <v>123</v>
      </c>
      <c r="B78" s="16" t="s">
        <v>169</v>
      </c>
      <c r="C78" s="3">
        <f>E79</f>
        <v>-1000</v>
      </c>
      <c r="D78" s="3">
        <f>F47</f>
        <v>0</v>
      </c>
      <c r="E78" s="17">
        <f>C78-D78</f>
        <v>-1000</v>
      </c>
      <c r="L78" s="466"/>
      <c r="M78" s="467"/>
      <c r="N78" s="467"/>
      <c r="O78" s="467"/>
      <c r="P78" s="468"/>
    </row>
    <row r="79" spans="1:16" x14ac:dyDescent="0.25">
      <c r="A79" s="130" t="s">
        <v>159</v>
      </c>
      <c r="B79" s="16" t="s">
        <v>170</v>
      </c>
      <c r="C79" s="3">
        <f>I24</f>
        <v>0</v>
      </c>
      <c r="D79" s="3">
        <f>D63-H63</f>
        <v>1000</v>
      </c>
      <c r="E79" s="17">
        <f>C79-D79</f>
        <v>-1000</v>
      </c>
      <c r="L79" s="466"/>
      <c r="M79" s="467"/>
      <c r="N79" s="467"/>
      <c r="O79" s="467"/>
      <c r="P79" s="468"/>
    </row>
    <row r="80" spans="1:16" x14ac:dyDescent="0.25">
      <c r="A80" s="130" t="s">
        <v>158</v>
      </c>
      <c r="B80" s="16" t="s">
        <v>171</v>
      </c>
      <c r="C80" s="3">
        <f>H24</f>
        <v>0</v>
      </c>
      <c r="D80" s="3">
        <f>C63+H63</f>
        <v>6943.9</v>
      </c>
      <c r="E80" s="17">
        <f>C80-D80</f>
        <v>-6943.9</v>
      </c>
      <c r="L80" s="466"/>
      <c r="M80" s="467"/>
      <c r="N80" s="467"/>
      <c r="O80" s="467"/>
      <c r="P80" s="468"/>
    </row>
    <row r="81" spans="1:16" x14ac:dyDescent="0.25">
      <c r="A81" s="130" t="s">
        <v>114</v>
      </c>
      <c r="B81" s="16" t="s">
        <v>55</v>
      </c>
      <c r="C81" s="3">
        <f>D24</f>
        <v>0</v>
      </c>
      <c r="D81" s="3">
        <f>C28</f>
        <v>0</v>
      </c>
      <c r="E81" s="17">
        <f>C81-D81</f>
        <v>0</v>
      </c>
      <c r="L81" s="466"/>
      <c r="M81" s="467"/>
      <c r="N81" s="467"/>
      <c r="O81" s="467"/>
      <c r="P81" s="468"/>
    </row>
    <row r="82" spans="1:16" x14ac:dyDescent="0.25">
      <c r="A82" s="130" t="s">
        <v>115</v>
      </c>
      <c r="B82" s="16" t="s">
        <v>79</v>
      </c>
      <c r="C82" s="3">
        <f>F24</f>
        <v>46</v>
      </c>
      <c r="D82" s="3">
        <f>E28</f>
        <v>46</v>
      </c>
      <c r="E82" s="17">
        <f>C82-D82</f>
        <v>0</v>
      </c>
      <c r="L82" s="466"/>
      <c r="M82" s="467"/>
      <c r="N82" s="467"/>
      <c r="O82" s="467"/>
      <c r="P82" s="468"/>
    </row>
    <row r="83" spans="1:16" x14ac:dyDescent="0.25">
      <c r="A83" s="130" t="s">
        <v>165</v>
      </c>
      <c r="B83" s="16" t="s">
        <v>172</v>
      </c>
      <c r="C83" s="3">
        <v>0</v>
      </c>
      <c r="D83" s="69">
        <f>+E75</f>
        <v>0</v>
      </c>
      <c r="E83" s="17"/>
      <c r="L83" s="466"/>
      <c r="M83" s="467"/>
      <c r="N83" s="467"/>
      <c r="O83" s="467"/>
      <c r="P83" s="468"/>
    </row>
    <row r="84" spans="1:16" ht="15.75" thickBot="1" x14ac:dyDescent="0.3">
      <c r="B84" s="18" t="s">
        <v>78</v>
      </c>
      <c r="C84" s="4">
        <f>SUM(C79:C82)</f>
        <v>46</v>
      </c>
      <c r="D84" s="4">
        <f>SUM(D78:D83)</f>
        <v>7989.9</v>
      </c>
      <c r="E84" s="41">
        <f>E82+E81+E80+E78</f>
        <v>-7943.9</v>
      </c>
      <c r="L84" s="466"/>
      <c r="M84" s="467"/>
      <c r="N84" s="467"/>
      <c r="O84" s="467"/>
      <c r="P84" s="468"/>
    </row>
    <row r="85" spans="1:16" x14ac:dyDescent="0.25">
      <c r="B85" s="27" t="s">
        <v>173</v>
      </c>
      <c r="C85" s="135"/>
      <c r="D85" s="153">
        <f>+C85*Info!B81</f>
        <v>0</v>
      </c>
      <c r="E85" s="149"/>
      <c r="G85" s="508" t="s">
        <v>174</v>
      </c>
      <c r="H85" s="509"/>
      <c r="I85" s="510"/>
      <c r="L85" s="466"/>
      <c r="M85" s="467"/>
      <c r="N85" s="467"/>
      <c r="O85" s="467"/>
      <c r="P85" s="468"/>
    </row>
    <row r="86" spans="1:16" x14ac:dyDescent="0.25">
      <c r="B86" s="28" t="s">
        <v>175</v>
      </c>
      <c r="C86" s="135"/>
      <c r="D86" s="154">
        <f>+C86*Info!C81</f>
        <v>0</v>
      </c>
      <c r="E86" s="150"/>
      <c r="G86" s="511"/>
      <c r="H86" s="512"/>
      <c r="I86" s="513"/>
      <c r="L86" s="466"/>
      <c r="M86" s="467"/>
      <c r="N86" s="467"/>
      <c r="O86" s="467"/>
      <c r="P86" s="468"/>
    </row>
    <row r="87" spans="1:16" x14ac:dyDescent="0.25">
      <c r="B87" s="16" t="s">
        <v>176</v>
      </c>
      <c r="D87" s="183">
        <f>F63</f>
        <v>1653.99</v>
      </c>
      <c r="E87" s="151"/>
      <c r="G87" s="511"/>
      <c r="H87" s="512"/>
      <c r="I87" s="513"/>
      <c r="L87" s="466"/>
      <c r="M87" s="467"/>
      <c r="N87" s="467"/>
      <c r="O87" s="467"/>
      <c r="P87" s="468"/>
    </row>
    <row r="88" spans="1:16" ht="15.75" thickBot="1" x14ac:dyDescent="0.3">
      <c r="B88" s="16" t="s">
        <v>177</v>
      </c>
      <c r="D88" s="144">
        <v>1</v>
      </c>
      <c r="E88" s="152"/>
      <c r="G88" s="514"/>
      <c r="H88" s="515"/>
      <c r="I88" s="516"/>
      <c r="L88" s="466"/>
      <c r="M88" s="467"/>
      <c r="N88" s="467"/>
      <c r="O88" s="467"/>
      <c r="P88" s="468"/>
    </row>
    <row r="89" spans="1:16" ht="15.75" thickBot="1" x14ac:dyDescent="0.3">
      <c r="B89" s="90" t="s">
        <v>62</v>
      </c>
      <c r="C89" s="93">
        <f>J24</f>
        <v>46</v>
      </c>
      <c r="D89" s="93">
        <f>D88+D84+D87+D86+D85</f>
        <v>9644.89</v>
      </c>
      <c r="E89" s="91">
        <f>C89-D89</f>
        <v>-9598.89</v>
      </c>
      <c r="L89" s="466"/>
      <c r="M89" s="467"/>
      <c r="N89" s="467"/>
      <c r="O89" s="467"/>
      <c r="P89" s="468"/>
    </row>
    <row r="90" spans="1:16" ht="15.75" thickBot="1" x14ac:dyDescent="0.3">
      <c r="B90" s="92" t="s">
        <v>178</v>
      </c>
      <c r="C90" s="94">
        <f>F4</f>
        <v>27274.5</v>
      </c>
      <c r="D90" s="95">
        <f>C90-D89</f>
        <v>17629.61</v>
      </c>
      <c r="E90" s="22">
        <f>D89/C89</f>
        <v>209.67152173913041</v>
      </c>
      <c r="L90" s="469"/>
      <c r="M90" s="470"/>
      <c r="N90" s="470"/>
      <c r="O90" s="470"/>
      <c r="P90" s="471"/>
    </row>
    <row r="91" spans="1:16" x14ac:dyDescent="0.25">
      <c r="D91" s="25"/>
    </row>
    <row r="92" spans="1:16" ht="23.25" x14ac:dyDescent="0.35">
      <c r="D92" s="23" t="s">
        <v>179</v>
      </c>
      <c r="E92" s="24">
        <f>(C90-(D89*1.04))/C90</f>
        <v>0.63223209958019411</v>
      </c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</sheetData>
  <protectedRanges>
    <protectedRange sqref="M73 B14:C23 E14:E23 G14:I23 B67:K74 C85:C86 D88 I79:I88 F51:J61 B51:D61 B32:F46" name="Bereich1"/>
  </protectedRanges>
  <mergeCells count="48">
    <mergeCell ref="L77:P90"/>
    <mergeCell ref="G85:I88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P49:S63"/>
    <mergeCell ref="L11:Q24"/>
    <mergeCell ref="L26:Q28"/>
    <mergeCell ref="L30:Q47"/>
    <mergeCell ref="B11:J11"/>
    <mergeCell ref="B12:B13"/>
    <mergeCell ref="C12:D12"/>
    <mergeCell ref="E12:F12"/>
    <mergeCell ref="G12:H12"/>
    <mergeCell ref="J12:J13"/>
    <mergeCell ref="D46:E46"/>
    <mergeCell ref="L65:P75"/>
    <mergeCell ref="G74:J74"/>
    <mergeCell ref="G75:J75"/>
    <mergeCell ref="C49:F49"/>
    <mergeCell ref="D30:E30"/>
    <mergeCell ref="D45:E45"/>
    <mergeCell ref="G69:J69"/>
    <mergeCell ref="G70:J70"/>
    <mergeCell ref="G71:J71"/>
    <mergeCell ref="G72:J72"/>
    <mergeCell ref="G73:J73"/>
    <mergeCell ref="L49:N49"/>
    <mergeCell ref="H49:J49"/>
    <mergeCell ref="B48:J48"/>
    <mergeCell ref="G67:J67"/>
    <mergeCell ref="G68:J68"/>
    <mergeCell ref="B2:J2"/>
    <mergeCell ref="C6:J6"/>
    <mergeCell ref="C7:J7"/>
    <mergeCell ref="C8:J8"/>
    <mergeCell ref="C9:J9"/>
  </mergeCells>
  <conditionalFormatting sqref="E92">
    <cfRule type="cellIs" dxfId="69" priority="16" stopIfTrue="1" operator="lessThanOrEqual">
      <formula>0.2</formula>
    </cfRule>
    <cfRule type="cellIs" dxfId="68" priority="17" operator="lessThanOrEqual">
      <formula>0.28</formula>
    </cfRule>
    <cfRule type="cellIs" dxfId="67" priority="18" operator="greaterThan">
      <formula>0.28</formula>
    </cfRule>
  </conditionalFormatting>
  <conditionalFormatting sqref="F51:F61">
    <cfRule type="expression" dxfId="66" priority="3">
      <formula>$F51&gt;$G51</formula>
    </cfRule>
  </conditionalFormatting>
  <conditionalFormatting sqref="H4">
    <cfRule type="expression" dxfId="65" priority="20">
      <formula>$H$4&gt;$G$4</formula>
    </cfRule>
    <cfRule type="expression" dxfId="64" priority="21">
      <formula>$H$4&lt;=$G$4</formula>
    </cfRule>
  </conditionalFormatting>
  <conditionalFormatting sqref="I4 E90">
    <cfRule type="colorScale" priority="19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L51:N61">
    <cfRule type="expression" dxfId="63" priority="1">
      <formula>$L51&lt;0%</formula>
    </cfRule>
    <cfRule type="expression" dxfId="62" priority="4">
      <formula>$L51=0%</formula>
    </cfRule>
    <cfRule type="expression" dxfId="61" priority="10" stopIfTrue="1">
      <formula>AND($L51=100%,$M51&gt;100%)</formula>
    </cfRule>
    <cfRule type="expression" dxfId="60" priority="11" stopIfTrue="1">
      <formula>AND($L51=100%,$M51&lt;=100%)</formula>
    </cfRule>
    <cfRule type="expression" dxfId="59" priority="12" stopIfTrue="1">
      <formula>AND($M51&gt;($L51),$L51&gt;0)</formula>
    </cfRule>
  </conditionalFormatting>
  <conditionalFormatting sqref="L63:N63">
    <cfRule type="expression" dxfId="58" priority="5" stopIfTrue="1">
      <formula>AND($L63=100%,$M63&gt;100%)</formula>
    </cfRule>
    <cfRule type="expression" dxfId="57" priority="8" stopIfTrue="1">
      <formula>AND($L63=100%,$M63&lt;=100%)</formula>
    </cfRule>
    <cfRule type="expression" dxfId="56" priority="9" stopIfTrue="1">
      <formula>$M63&gt;$L63</formula>
    </cfRule>
  </conditionalFormatting>
  <pageMargins left="0.25" right="0.25" top="0.75" bottom="0.75" header="0.3" footer="0.3"/>
  <pageSetup paperSize="9"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5">
    <pageSetUpPr fitToPage="1"/>
  </sheetPr>
  <dimension ref="A1:Z241"/>
  <sheetViews>
    <sheetView showGridLines="0" zoomScaleNormal="100" workbookViewId="0">
      <selection activeCell="G30" sqref="G30"/>
    </sheetView>
  </sheetViews>
  <sheetFormatPr baseColWidth="10" defaultColWidth="11.42578125" defaultRowHeight="15" outlineLevelRow="1" x14ac:dyDescent="0.25"/>
  <cols>
    <col min="1" max="1" width="6.42578125" customWidth="1"/>
    <col min="2" max="2" width="27" bestFit="1" customWidth="1"/>
    <col min="3" max="3" width="12.42578125" bestFit="1" customWidth="1"/>
    <col min="4" max="4" width="17.140625" bestFit="1" customWidth="1"/>
    <col min="5" max="5" width="17.42578125" style="2" bestFit="1" customWidth="1"/>
    <col min="6" max="6" width="14.140625" customWidth="1"/>
    <col min="7" max="7" width="18.140625" customWidth="1"/>
    <col min="8" max="8" width="13.140625" customWidth="1"/>
    <col min="9" max="9" width="15" customWidth="1"/>
    <col min="10" max="10" width="13" bestFit="1" customWidth="1"/>
    <col min="11" max="11" width="16.5703125" customWidth="1"/>
    <col min="12" max="12" width="48.5703125" customWidth="1"/>
    <col min="13" max="13" width="12" customWidth="1"/>
    <col min="14" max="14" width="12.85546875" customWidth="1"/>
    <col min="15" max="15" width="17.42578125" customWidth="1"/>
    <col min="17" max="18" width="12" customWidth="1"/>
    <col min="19" max="20" width="14" customWidth="1"/>
    <col min="21" max="25" width="12" customWidth="1"/>
  </cols>
  <sheetData>
    <row r="1" spans="2:18" ht="15.75" thickBot="1" x14ac:dyDescent="0.3"/>
    <row r="2" spans="2:18" s="1" customFormat="1" x14ac:dyDescent="0.25">
      <c r="B2" s="454"/>
      <c r="C2" s="455"/>
      <c r="D2" s="455"/>
      <c r="E2" s="455"/>
      <c r="F2" s="455"/>
      <c r="G2" s="455"/>
      <c r="H2" s="455"/>
      <c r="I2" s="455"/>
      <c r="J2" s="456"/>
      <c r="K2" s="298"/>
      <c r="L2" s="2"/>
      <c r="M2" s="521" t="s">
        <v>180</v>
      </c>
      <c r="N2" s="522"/>
      <c r="O2" s="522"/>
      <c r="P2" s="522"/>
      <c r="Q2" s="522"/>
      <c r="R2" s="523"/>
    </row>
    <row r="3" spans="2:18" s="2" customFormat="1" x14ac:dyDescent="0.25">
      <c r="B3" s="145" t="s">
        <v>103</v>
      </c>
      <c r="C3" s="5" t="s">
        <v>32</v>
      </c>
      <c r="D3" s="146" t="s">
        <v>10</v>
      </c>
      <c r="E3" s="146" t="s">
        <v>8</v>
      </c>
      <c r="F3" s="146" t="s">
        <v>16</v>
      </c>
      <c r="G3" s="5" t="s">
        <v>28</v>
      </c>
      <c r="H3" s="146" t="s">
        <v>104</v>
      </c>
      <c r="I3" s="146" t="s">
        <v>58</v>
      </c>
      <c r="J3" s="147" t="s">
        <v>105</v>
      </c>
      <c r="K3" s="298"/>
      <c r="L3"/>
      <c r="M3" s="524"/>
      <c r="N3" s="525"/>
      <c r="O3" s="525"/>
      <c r="P3" s="525"/>
      <c r="Q3" s="525"/>
      <c r="R3" s="526"/>
    </row>
    <row r="4" spans="2:18" ht="15.75" thickBot="1" x14ac:dyDescent="0.3">
      <c r="B4" s="8" t="str">
        <f>+Info!B7</f>
        <v>PFEIFFER BENELUX</v>
      </c>
      <c r="C4" s="9" t="str">
        <f>+Info!B15</f>
        <v>Plomer</v>
      </c>
      <c r="D4" s="10" t="str">
        <f>+Info!B6</f>
        <v>P47551</v>
      </c>
      <c r="E4" s="11" t="str">
        <f>+Info!B5</f>
        <v>B</v>
      </c>
      <c r="F4" s="11">
        <f>+Info!B9+Info!B11+Info!C11+Info!D11+Info!E11</f>
        <v>27274.5</v>
      </c>
      <c r="G4" s="12">
        <f>+Info!B13</f>
        <v>45915</v>
      </c>
      <c r="H4" s="12"/>
      <c r="I4" s="29">
        <f>(F4-(J24*1.05))/F4</f>
        <v>0.46429654072485282</v>
      </c>
      <c r="J4" s="13"/>
      <c r="K4" s="299"/>
      <c r="M4" s="524"/>
      <c r="N4" s="525"/>
      <c r="O4" s="525"/>
      <c r="P4" s="525"/>
      <c r="Q4" s="525"/>
      <c r="R4" s="526"/>
    </row>
    <row r="5" spans="2:18" ht="15.75" thickBot="1" x14ac:dyDescent="0.3">
      <c r="E5"/>
      <c r="K5" s="300"/>
      <c r="M5" s="524"/>
      <c r="N5" s="525"/>
      <c r="O5" s="525"/>
      <c r="P5" s="525"/>
      <c r="Q5" s="525"/>
      <c r="R5" s="526"/>
    </row>
    <row r="6" spans="2:18" ht="15.75" thickBot="1" x14ac:dyDescent="0.3">
      <c r="B6" s="70"/>
      <c r="C6" s="457"/>
      <c r="D6" s="458"/>
      <c r="E6" s="458"/>
      <c r="F6" s="458"/>
      <c r="G6" s="458"/>
      <c r="H6" s="458"/>
      <c r="I6" s="458"/>
      <c r="J6" s="459"/>
      <c r="K6" s="301"/>
      <c r="M6" s="524"/>
      <c r="N6" s="525"/>
      <c r="O6" s="525"/>
      <c r="P6" s="525"/>
      <c r="Q6" s="525"/>
      <c r="R6" s="526"/>
    </row>
    <row r="7" spans="2:18" ht="15.75" thickBot="1" x14ac:dyDescent="0.3">
      <c r="B7" s="43" t="s">
        <v>38</v>
      </c>
      <c r="C7" s="457" t="str">
        <f>+Info!B19</f>
        <v>TR-8880-19709</v>
      </c>
      <c r="D7" s="458"/>
      <c r="E7" s="458"/>
      <c r="F7" s="458"/>
      <c r="G7" s="458"/>
      <c r="H7" s="458"/>
      <c r="I7" s="458"/>
      <c r="J7" s="459"/>
      <c r="K7" s="301"/>
      <c r="L7" s="1"/>
      <c r="M7" s="524"/>
      <c r="N7" s="525"/>
      <c r="O7" s="525"/>
      <c r="P7" s="525"/>
      <c r="Q7" s="525"/>
      <c r="R7" s="526"/>
    </row>
    <row r="8" spans="2:18" s="1" customFormat="1" ht="15.75" thickBot="1" x14ac:dyDescent="0.3">
      <c r="B8" s="7" t="s">
        <v>40</v>
      </c>
      <c r="C8" s="457" t="str">
        <f>+Info!B20</f>
        <v>kundenspezfische Hochvakuumkammer DN600 Horizontal Länge: 900 mm</v>
      </c>
      <c r="D8" s="458"/>
      <c r="E8" s="458"/>
      <c r="F8" s="458"/>
      <c r="G8" s="458"/>
      <c r="H8" s="458"/>
      <c r="I8" s="458"/>
      <c r="J8" s="459"/>
      <c r="K8" s="301"/>
      <c r="L8"/>
      <c r="M8" s="524"/>
      <c r="N8" s="525"/>
      <c r="O8" s="525"/>
      <c r="P8" s="525"/>
      <c r="Q8" s="525"/>
      <c r="R8" s="526"/>
    </row>
    <row r="9" spans="2:18" ht="15" customHeight="1" thickBot="1" x14ac:dyDescent="0.3">
      <c r="B9" s="71" t="s">
        <v>107</v>
      </c>
      <c r="C9" s="460">
        <f>+Info!B21</f>
        <v>0</v>
      </c>
      <c r="D9" s="461"/>
      <c r="E9" s="461"/>
      <c r="F9" s="461"/>
      <c r="G9" s="461"/>
      <c r="H9" s="461"/>
      <c r="I9" s="461"/>
      <c r="J9" s="462"/>
      <c r="K9" s="301"/>
      <c r="M9" s="524"/>
      <c r="N9" s="525"/>
      <c r="O9" s="525"/>
      <c r="P9" s="525"/>
      <c r="Q9" s="525"/>
      <c r="R9" s="526"/>
    </row>
    <row r="10" spans="2:18" ht="15.75" thickBot="1" x14ac:dyDescent="0.3">
      <c r="E10"/>
      <c r="K10" s="300"/>
      <c r="M10" s="524"/>
      <c r="N10" s="525"/>
      <c r="O10" s="525"/>
      <c r="P10" s="525"/>
      <c r="Q10" s="525"/>
      <c r="R10" s="526"/>
    </row>
    <row r="11" spans="2:18" ht="15.75" thickBot="1" x14ac:dyDescent="0.3">
      <c r="B11" s="495" t="s">
        <v>108</v>
      </c>
      <c r="C11" s="532"/>
      <c r="D11" s="532"/>
      <c r="E11" s="532"/>
      <c r="F11" s="532"/>
      <c r="G11" s="532"/>
      <c r="H11" s="532"/>
      <c r="I11" s="532"/>
      <c r="J11" s="497"/>
      <c r="K11" s="302"/>
      <c r="L11" s="2"/>
      <c r="M11" s="524"/>
      <c r="N11" s="525"/>
      <c r="O11" s="525"/>
      <c r="P11" s="525"/>
      <c r="Q11" s="525"/>
      <c r="R11" s="526"/>
    </row>
    <row r="12" spans="2:18" x14ac:dyDescent="0.25">
      <c r="B12" s="533"/>
      <c r="C12" s="503" t="s">
        <v>110</v>
      </c>
      <c r="D12" s="501"/>
      <c r="E12" s="501" t="s">
        <v>111</v>
      </c>
      <c r="F12" s="501"/>
      <c r="G12" s="501" t="s">
        <v>56</v>
      </c>
      <c r="H12" s="501"/>
      <c r="I12" s="244" t="s">
        <v>57</v>
      </c>
      <c r="J12" s="530" t="s">
        <v>78</v>
      </c>
      <c r="K12" s="303"/>
      <c r="M12" s="524"/>
      <c r="N12" s="525"/>
      <c r="O12" s="525"/>
      <c r="P12" s="525"/>
      <c r="Q12" s="525"/>
      <c r="R12" s="526"/>
    </row>
    <row r="13" spans="2:18" ht="15.75" thickBot="1" x14ac:dyDescent="0.3">
      <c r="B13" s="534"/>
      <c r="C13" s="83" t="s">
        <v>112</v>
      </c>
      <c r="D13" s="20" t="s">
        <v>113</v>
      </c>
      <c r="E13" s="21" t="s">
        <v>112</v>
      </c>
      <c r="F13" s="20" t="s">
        <v>113</v>
      </c>
      <c r="G13" s="20" t="s">
        <v>112</v>
      </c>
      <c r="H13" s="20" t="s">
        <v>113</v>
      </c>
      <c r="I13" s="241" t="s">
        <v>113</v>
      </c>
      <c r="J13" s="531"/>
      <c r="K13" s="303"/>
      <c r="M13" s="524"/>
      <c r="N13" s="525"/>
      <c r="O13" s="525"/>
      <c r="P13" s="525"/>
      <c r="Q13" s="525"/>
      <c r="R13" s="526"/>
    </row>
    <row r="14" spans="2:18" x14ac:dyDescent="0.25">
      <c r="B14" s="239" t="s">
        <v>190</v>
      </c>
      <c r="C14" s="84">
        <v>5</v>
      </c>
      <c r="D14" s="350">
        <v>250</v>
      </c>
      <c r="E14" s="36">
        <v>20</v>
      </c>
      <c r="F14" s="351">
        <v>1000</v>
      </c>
      <c r="G14" s="36"/>
      <c r="H14" s="38">
        <v>2096.5</v>
      </c>
      <c r="I14" s="243">
        <v>10568.78</v>
      </c>
      <c r="J14" s="352">
        <v>13915.28</v>
      </c>
      <c r="K14" s="304"/>
      <c r="M14" s="524"/>
      <c r="N14" s="525"/>
      <c r="O14" s="525"/>
      <c r="P14" s="525"/>
      <c r="Q14" s="525"/>
      <c r="R14" s="526"/>
    </row>
    <row r="15" spans="2:18" ht="15.75" thickBot="1" x14ac:dyDescent="0.3">
      <c r="B15" s="240"/>
      <c r="C15" s="86"/>
      <c r="D15" s="350">
        <f t="shared" ref="D15:D23" si="0">C15*53</f>
        <v>0</v>
      </c>
      <c r="E15" s="34"/>
      <c r="F15" s="351">
        <f t="shared" ref="F15:F23" si="1">E15*53</f>
        <v>0</v>
      </c>
      <c r="G15" s="34"/>
      <c r="H15" s="35"/>
      <c r="I15" s="243"/>
      <c r="J15" s="353">
        <f t="shared" ref="J15:J23" si="2">+D15+F15+H15+I15</f>
        <v>0</v>
      </c>
      <c r="K15" s="304"/>
      <c r="M15" s="527"/>
      <c r="N15" s="528"/>
      <c r="O15" s="528"/>
      <c r="P15" s="528"/>
      <c r="Q15" s="528"/>
      <c r="R15" s="529"/>
    </row>
    <row r="16" spans="2:18" ht="15.75" thickBot="1" x14ac:dyDescent="0.3">
      <c r="B16" s="240"/>
      <c r="C16" s="86"/>
      <c r="D16" s="350">
        <f t="shared" si="0"/>
        <v>0</v>
      </c>
      <c r="E16" s="34"/>
      <c r="F16" s="351">
        <f t="shared" si="1"/>
        <v>0</v>
      </c>
      <c r="G16" s="34"/>
      <c r="H16" s="35"/>
      <c r="I16" s="243"/>
      <c r="J16" s="353">
        <f t="shared" si="2"/>
        <v>0</v>
      </c>
      <c r="K16" s="26"/>
      <c r="L16" s="1"/>
    </row>
    <row r="17" spans="2:18" x14ac:dyDescent="0.25">
      <c r="B17" s="240"/>
      <c r="C17" s="86"/>
      <c r="D17" s="350">
        <f t="shared" si="0"/>
        <v>0</v>
      </c>
      <c r="E17" s="34"/>
      <c r="F17" s="351">
        <f t="shared" si="1"/>
        <v>0</v>
      </c>
      <c r="G17" s="34"/>
      <c r="H17" s="35"/>
      <c r="I17" s="243"/>
      <c r="J17" s="353">
        <f t="shared" si="2"/>
        <v>0</v>
      </c>
      <c r="K17" s="26"/>
      <c r="M17" s="463" t="s">
        <v>116</v>
      </c>
      <c r="N17" s="464"/>
      <c r="O17" s="464"/>
      <c r="P17" s="464"/>
      <c r="Q17" s="464"/>
      <c r="R17" s="465"/>
    </row>
    <row r="18" spans="2:18" x14ac:dyDescent="0.25">
      <c r="B18" s="240"/>
      <c r="C18" s="86"/>
      <c r="D18" s="350">
        <f t="shared" si="0"/>
        <v>0</v>
      </c>
      <c r="E18" s="34"/>
      <c r="F18" s="351">
        <f t="shared" si="1"/>
        <v>0</v>
      </c>
      <c r="G18" s="34"/>
      <c r="H18" s="35"/>
      <c r="I18" s="243"/>
      <c r="J18" s="353">
        <f t="shared" si="2"/>
        <v>0</v>
      </c>
      <c r="K18" s="26"/>
      <c r="M18" s="466"/>
      <c r="N18" s="467"/>
      <c r="O18" s="467"/>
      <c r="P18" s="467"/>
      <c r="Q18" s="467"/>
      <c r="R18" s="468"/>
    </row>
    <row r="19" spans="2:18" ht="14.25" customHeight="1" thickBot="1" x14ac:dyDescent="0.3">
      <c r="B19" s="240"/>
      <c r="C19" s="86"/>
      <c r="D19" s="350">
        <f t="shared" si="0"/>
        <v>0</v>
      </c>
      <c r="E19" s="34"/>
      <c r="F19" s="351">
        <f t="shared" si="1"/>
        <v>0</v>
      </c>
      <c r="G19" s="34"/>
      <c r="H19" s="35"/>
      <c r="I19" s="243"/>
      <c r="J19" s="353">
        <f t="shared" si="2"/>
        <v>0</v>
      </c>
      <c r="K19" s="26"/>
      <c r="M19" s="469"/>
      <c r="N19" s="470"/>
      <c r="O19" s="470"/>
      <c r="P19" s="470"/>
      <c r="Q19" s="470"/>
      <c r="R19" s="471"/>
    </row>
    <row r="20" spans="2:18" ht="14.25" customHeight="1" thickBot="1" x14ac:dyDescent="0.3">
      <c r="B20" s="240"/>
      <c r="C20" s="86"/>
      <c r="D20" s="350">
        <f t="shared" si="0"/>
        <v>0</v>
      </c>
      <c r="E20" s="34"/>
      <c r="F20" s="351">
        <f t="shared" si="1"/>
        <v>0</v>
      </c>
      <c r="G20" s="34"/>
      <c r="H20" s="35"/>
      <c r="I20" s="243"/>
      <c r="J20" s="353">
        <f t="shared" si="2"/>
        <v>0</v>
      </c>
      <c r="K20" s="26"/>
      <c r="L20" s="2"/>
    </row>
    <row r="21" spans="2:18" x14ac:dyDescent="0.25">
      <c r="B21" s="240"/>
      <c r="C21" s="86"/>
      <c r="D21" s="350">
        <f t="shared" si="0"/>
        <v>0</v>
      </c>
      <c r="E21" s="34"/>
      <c r="F21" s="351">
        <f t="shared" si="1"/>
        <v>0</v>
      </c>
      <c r="G21" s="34"/>
      <c r="H21" s="35"/>
      <c r="I21" s="243"/>
      <c r="J21" s="353">
        <f t="shared" si="2"/>
        <v>0</v>
      </c>
      <c r="K21" s="26"/>
      <c r="M21" s="463" t="s">
        <v>118</v>
      </c>
      <c r="N21" s="464"/>
      <c r="O21" s="464"/>
      <c r="P21" s="464"/>
      <c r="Q21" s="464"/>
      <c r="R21" s="465"/>
    </row>
    <row r="22" spans="2:18" x14ac:dyDescent="0.25">
      <c r="B22" s="240"/>
      <c r="C22" s="86"/>
      <c r="D22" s="350">
        <f t="shared" si="0"/>
        <v>0</v>
      </c>
      <c r="E22" s="34"/>
      <c r="F22" s="351">
        <f t="shared" si="1"/>
        <v>0</v>
      </c>
      <c r="G22" s="34"/>
      <c r="H22" s="35"/>
      <c r="I22" s="243"/>
      <c r="J22" s="353">
        <f t="shared" si="2"/>
        <v>0</v>
      </c>
      <c r="K22" s="26"/>
      <c r="M22" s="466"/>
      <c r="N22" s="467"/>
      <c r="O22" s="467"/>
      <c r="P22" s="467"/>
      <c r="Q22" s="467"/>
      <c r="R22" s="468"/>
    </row>
    <row r="23" spans="2:18" ht="15.75" thickBot="1" x14ac:dyDescent="0.3">
      <c r="B23" s="287"/>
      <c r="C23" s="288"/>
      <c r="D23" s="350">
        <f t="shared" si="0"/>
        <v>0</v>
      </c>
      <c r="E23" s="289"/>
      <c r="F23" s="351">
        <f t="shared" si="1"/>
        <v>0</v>
      </c>
      <c r="G23" s="289"/>
      <c r="H23" s="290"/>
      <c r="I23" s="291"/>
      <c r="J23" s="354">
        <f t="shared" si="2"/>
        <v>0</v>
      </c>
      <c r="K23" s="26"/>
      <c r="M23" s="466"/>
      <c r="N23" s="467"/>
      <c r="O23" s="467"/>
      <c r="P23" s="467"/>
      <c r="Q23" s="467"/>
      <c r="R23" s="468"/>
    </row>
    <row r="24" spans="2:18" ht="15.75" thickBot="1" x14ac:dyDescent="0.3">
      <c r="B24" s="292" t="s">
        <v>78</v>
      </c>
      <c r="C24" s="293">
        <f>SUM(C14:C23)</f>
        <v>5</v>
      </c>
      <c r="D24" s="294">
        <f>SUM(D14:D23)</f>
        <v>250</v>
      </c>
      <c r="E24" s="293">
        <f t="shared" ref="E24:J24" si="3">SUM(E14:E23)</f>
        <v>20</v>
      </c>
      <c r="F24" s="294">
        <f t="shared" si="3"/>
        <v>1000</v>
      </c>
      <c r="G24" s="293">
        <f t="shared" si="3"/>
        <v>0</v>
      </c>
      <c r="H24" s="294">
        <f t="shared" si="3"/>
        <v>2096.5</v>
      </c>
      <c r="I24" s="294">
        <f t="shared" si="3"/>
        <v>10568.78</v>
      </c>
      <c r="J24" s="295">
        <f t="shared" si="3"/>
        <v>13915.28</v>
      </c>
      <c r="K24" s="308"/>
      <c r="M24" s="466"/>
      <c r="N24" s="467"/>
      <c r="O24" s="467"/>
      <c r="P24" s="467"/>
      <c r="Q24" s="467"/>
      <c r="R24" s="468"/>
    </row>
    <row r="25" spans="2:18" ht="15.75" thickBot="1" x14ac:dyDescent="0.3">
      <c r="B25" s="237"/>
      <c r="C25" s="115"/>
      <c r="D25" s="116"/>
      <c r="E25" s="117"/>
      <c r="F25" s="118"/>
      <c r="G25" s="119"/>
      <c r="M25" s="466"/>
      <c r="N25" s="467"/>
      <c r="O25" s="467"/>
      <c r="P25" s="467"/>
      <c r="Q25" s="467"/>
      <c r="R25" s="468"/>
    </row>
    <row r="26" spans="2:18" x14ac:dyDescent="0.25">
      <c r="B26" s="121" t="s">
        <v>55</v>
      </c>
      <c r="C26" s="134" t="s">
        <v>114</v>
      </c>
      <c r="D26" s="122" t="s">
        <v>79</v>
      </c>
      <c r="E26" s="134" t="s">
        <v>115</v>
      </c>
      <c r="F26" s="537" t="s">
        <v>181</v>
      </c>
      <c r="G26" s="538"/>
      <c r="M26" s="466"/>
      <c r="N26" s="467"/>
      <c r="O26" s="467"/>
      <c r="P26" s="467"/>
      <c r="Q26" s="467"/>
      <c r="R26" s="468"/>
    </row>
    <row r="27" spans="2:18" x14ac:dyDescent="0.25">
      <c r="B27" s="263"/>
      <c r="C27" s="264"/>
      <c r="D27" s="265"/>
      <c r="E27" s="264"/>
      <c r="F27" s="265"/>
      <c r="G27" s="264"/>
      <c r="I27" s="251"/>
      <c r="M27" s="466"/>
      <c r="N27" s="467"/>
      <c r="O27" s="467"/>
      <c r="P27" s="467"/>
      <c r="Q27" s="467"/>
      <c r="R27" s="468"/>
    </row>
    <row r="28" spans="2:18" ht="14.45" customHeight="1" thickBot="1" x14ac:dyDescent="0.3">
      <c r="B28" s="42" t="s">
        <v>112</v>
      </c>
      <c r="C28" s="133" t="s">
        <v>113</v>
      </c>
      <c r="D28" s="100" t="s">
        <v>112</v>
      </c>
      <c r="E28" s="133" t="s">
        <v>113</v>
      </c>
      <c r="F28" s="100" t="s">
        <v>112</v>
      </c>
      <c r="G28" s="133" t="s">
        <v>113</v>
      </c>
      <c r="I28" s="251"/>
      <c r="M28" s="466"/>
      <c r="N28" s="467"/>
      <c r="O28" s="467"/>
      <c r="P28" s="467"/>
      <c r="Q28" s="467"/>
      <c r="R28" s="468"/>
    </row>
    <row r="29" spans="2:18" ht="15.75" thickBot="1" x14ac:dyDescent="0.3">
      <c r="B29" s="296"/>
      <c r="C29" s="95">
        <f>B29*53</f>
        <v>0</v>
      </c>
      <c r="D29" s="296"/>
      <c r="E29" s="108">
        <f>D29*53</f>
        <v>0</v>
      </c>
      <c r="F29" s="296"/>
      <c r="G29" s="108">
        <f>F29*53</f>
        <v>0</v>
      </c>
      <c r="M29" s="466"/>
      <c r="N29" s="467"/>
      <c r="O29" s="467"/>
      <c r="P29" s="467"/>
      <c r="Q29" s="467"/>
      <c r="R29" s="468"/>
    </row>
    <row r="30" spans="2:18" ht="15.75" thickBot="1" x14ac:dyDescent="0.3">
      <c r="B30" s="238"/>
      <c r="C30" s="102"/>
      <c r="D30" s="103"/>
      <c r="E30" s="102"/>
      <c r="F30" s="103"/>
      <c r="G30" s="102"/>
      <c r="M30" s="466"/>
      <c r="N30" s="467"/>
      <c r="O30" s="467"/>
      <c r="P30" s="467"/>
      <c r="Q30" s="467"/>
      <c r="R30" s="468"/>
    </row>
    <row r="31" spans="2:18" x14ac:dyDescent="0.25">
      <c r="B31" s="218" t="s">
        <v>117</v>
      </c>
      <c r="C31" s="219"/>
      <c r="D31" s="478"/>
      <c r="E31" s="479"/>
      <c r="F31" s="109"/>
      <c r="G31" s="110"/>
      <c r="M31" s="466"/>
      <c r="N31" s="467"/>
      <c r="O31" s="467"/>
      <c r="P31" s="467"/>
      <c r="Q31" s="467"/>
      <c r="R31" s="468"/>
    </row>
    <row r="32" spans="2:18" ht="15.75" thickBot="1" x14ac:dyDescent="0.3">
      <c r="B32" s="221" t="s">
        <v>119</v>
      </c>
      <c r="C32" s="99" t="s">
        <v>120</v>
      </c>
      <c r="D32" s="517" t="s">
        <v>43</v>
      </c>
      <c r="E32" s="518"/>
      <c r="F32" s="222" t="s">
        <v>121</v>
      </c>
      <c r="G32" s="227" t="s">
        <v>122</v>
      </c>
      <c r="H32" s="251"/>
      <c r="M32" s="466"/>
      <c r="N32" s="467"/>
      <c r="O32" s="467"/>
      <c r="P32" s="467"/>
      <c r="Q32" s="467"/>
      <c r="R32" s="468"/>
    </row>
    <row r="33" spans="2:18" x14ac:dyDescent="0.25">
      <c r="B33" s="253"/>
      <c r="C33" s="254"/>
      <c r="D33" s="535"/>
      <c r="E33" s="536"/>
      <c r="F33" s="334"/>
      <c r="G33" s="255"/>
      <c r="H33" s="251"/>
      <c r="M33" s="466"/>
      <c r="N33" s="467"/>
      <c r="O33" s="467"/>
      <c r="P33" s="467"/>
      <c r="Q33" s="467"/>
      <c r="R33" s="468"/>
    </row>
    <row r="34" spans="2:18" x14ac:dyDescent="0.25">
      <c r="B34" s="223"/>
      <c r="C34" s="39"/>
      <c r="D34" s="480"/>
      <c r="E34" s="481"/>
      <c r="F34" s="226"/>
      <c r="G34" s="256"/>
      <c r="H34" s="251"/>
      <c r="M34" s="466"/>
      <c r="N34" s="467"/>
      <c r="O34" s="467"/>
      <c r="P34" s="467"/>
      <c r="Q34" s="467"/>
      <c r="R34" s="468"/>
    </row>
    <row r="35" spans="2:18" x14ac:dyDescent="0.25">
      <c r="B35" s="223"/>
      <c r="C35" s="39"/>
      <c r="D35" s="480"/>
      <c r="E35" s="481"/>
      <c r="F35" s="226"/>
      <c r="G35" s="256"/>
      <c r="H35" s="251"/>
      <c r="M35" s="466"/>
      <c r="N35" s="467"/>
      <c r="O35" s="467"/>
      <c r="P35" s="467"/>
      <c r="Q35" s="467"/>
      <c r="R35" s="468"/>
    </row>
    <row r="36" spans="2:18" x14ac:dyDescent="0.25">
      <c r="B36" s="223"/>
      <c r="C36" s="257"/>
      <c r="D36" s="480"/>
      <c r="E36" s="481"/>
      <c r="F36" s="226"/>
      <c r="G36" s="256"/>
      <c r="H36" s="251"/>
      <c r="M36" s="466"/>
      <c r="N36" s="467"/>
      <c r="O36" s="467"/>
      <c r="P36" s="467"/>
      <c r="Q36" s="467"/>
      <c r="R36" s="468"/>
    </row>
    <row r="37" spans="2:18" x14ac:dyDescent="0.25">
      <c r="B37" s="223"/>
      <c r="C37" s="39"/>
      <c r="D37" s="480"/>
      <c r="E37" s="481"/>
      <c r="F37" s="226"/>
      <c r="G37" s="256"/>
      <c r="H37" s="251"/>
      <c r="M37" s="466"/>
      <c r="N37" s="467"/>
      <c r="O37" s="467"/>
      <c r="P37" s="467"/>
      <c r="Q37" s="467"/>
      <c r="R37" s="468"/>
    </row>
    <row r="38" spans="2:18" ht="15.75" thickBot="1" x14ac:dyDescent="0.3">
      <c r="B38" s="223"/>
      <c r="C38" s="39"/>
      <c r="D38" s="480"/>
      <c r="E38" s="481"/>
      <c r="F38" s="226"/>
      <c r="G38" s="256"/>
      <c r="H38" s="251"/>
      <c r="M38" s="469"/>
      <c r="N38" s="470"/>
      <c r="O38" s="470"/>
      <c r="P38" s="470"/>
      <c r="Q38" s="470"/>
      <c r="R38" s="471"/>
    </row>
    <row r="39" spans="2:18" x14ac:dyDescent="0.25">
      <c r="B39" s="223"/>
      <c r="C39" s="39"/>
      <c r="D39" s="480"/>
      <c r="E39" s="481"/>
      <c r="F39" s="226"/>
      <c r="G39" s="256"/>
      <c r="H39" s="251"/>
    </row>
    <row r="40" spans="2:18" x14ac:dyDescent="0.25">
      <c r="B40" s="223"/>
      <c r="C40" s="257"/>
      <c r="D40" s="480"/>
      <c r="E40" s="481"/>
      <c r="F40" s="226"/>
      <c r="G40" s="256"/>
      <c r="H40" s="251"/>
    </row>
    <row r="41" spans="2:18" x14ac:dyDescent="0.25">
      <c r="B41" s="223"/>
      <c r="C41" s="39"/>
      <c r="D41" s="480"/>
      <c r="E41" s="481"/>
      <c r="F41" s="226"/>
      <c r="G41" s="256"/>
      <c r="H41" s="251"/>
    </row>
    <row r="42" spans="2:18" x14ac:dyDescent="0.25">
      <c r="B42" s="223"/>
      <c r="C42" s="39"/>
      <c r="D42" s="480"/>
      <c r="E42" s="481"/>
      <c r="F42" s="226"/>
      <c r="G42" s="158"/>
      <c r="I42" s="251"/>
    </row>
    <row r="43" spans="2:18" x14ac:dyDescent="0.25">
      <c r="B43" s="223"/>
      <c r="C43" s="39"/>
      <c r="D43" s="480"/>
      <c r="E43" s="481"/>
      <c r="F43" s="226"/>
      <c r="G43" s="158"/>
      <c r="I43" s="251"/>
    </row>
    <row r="44" spans="2:18" x14ac:dyDescent="0.25">
      <c r="B44" s="223"/>
      <c r="C44" s="39"/>
      <c r="D44" s="480"/>
      <c r="E44" s="481"/>
      <c r="F44" s="226"/>
      <c r="G44" s="158"/>
      <c r="I44" s="251"/>
    </row>
    <row r="45" spans="2:18" x14ac:dyDescent="0.25">
      <c r="B45" s="223"/>
      <c r="C45" s="39"/>
      <c r="D45" s="480"/>
      <c r="E45" s="481"/>
      <c r="F45" s="226"/>
      <c r="G45" s="158"/>
    </row>
    <row r="46" spans="2:18" x14ac:dyDescent="0.25">
      <c r="B46" s="223"/>
      <c r="C46" s="39"/>
      <c r="D46" s="480"/>
      <c r="E46" s="481"/>
      <c r="F46" s="226"/>
      <c r="G46" s="158"/>
    </row>
    <row r="47" spans="2:18" ht="15.75" thickBot="1" x14ac:dyDescent="0.3">
      <c r="B47" s="355"/>
      <c r="C47" s="231"/>
      <c r="D47" s="506"/>
      <c r="E47" s="507"/>
      <c r="F47" s="232"/>
      <c r="G47" s="233"/>
    </row>
    <row r="48" spans="2:18" ht="15.75" thickBot="1" x14ac:dyDescent="0.3">
      <c r="B48" s="120" t="s">
        <v>78</v>
      </c>
      <c r="C48" s="97"/>
      <c r="D48" s="97"/>
      <c r="E48" s="98"/>
      <c r="F48" s="132">
        <f>SUM(F33:F47)</f>
        <v>0</v>
      </c>
      <c r="G48" s="224" t="s">
        <v>123</v>
      </c>
      <c r="L48" s="2"/>
    </row>
    <row r="49" spans="2:26" ht="15.75" thickBot="1" x14ac:dyDescent="0.3">
      <c r="B49" s="491"/>
      <c r="C49" s="491"/>
      <c r="D49" s="491"/>
      <c r="E49" s="491"/>
      <c r="F49" s="491"/>
      <c r="G49" s="491"/>
      <c r="H49" s="492"/>
      <c r="I49" s="492"/>
      <c r="J49" s="492"/>
      <c r="K49" s="1"/>
      <c r="L49" s="1"/>
      <c r="Q49" s="431"/>
      <c r="R49" s="431"/>
      <c r="S49" s="431"/>
      <c r="T49" s="431"/>
      <c r="U49" s="431"/>
      <c r="V49" s="431"/>
      <c r="W49" s="431"/>
      <c r="X49" s="431"/>
      <c r="Y49" s="431"/>
    </row>
    <row r="50" spans="2:26" ht="15.75" thickBot="1" x14ac:dyDescent="0.3">
      <c r="B50" s="266" t="s">
        <v>124</v>
      </c>
      <c r="C50" s="476" t="s">
        <v>125</v>
      </c>
      <c r="D50" s="477"/>
      <c r="E50" s="477"/>
      <c r="F50" s="477"/>
      <c r="G50" s="190" t="s">
        <v>182</v>
      </c>
      <c r="H50" s="487" t="s">
        <v>127</v>
      </c>
      <c r="I50" s="488"/>
      <c r="J50" s="489"/>
      <c r="K50" s="187"/>
      <c r="L50" s="187"/>
      <c r="M50" s="543" t="s">
        <v>128</v>
      </c>
      <c r="N50" s="544"/>
      <c r="O50" s="545"/>
      <c r="Q50" s="463" t="s">
        <v>129</v>
      </c>
      <c r="R50" s="464"/>
      <c r="S50" s="464"/>
      <c r="T50" s="465"/>
      <c r="U50" s="431"/>
      <c r="V50" s="431"/>
      <c r="W50" s="431"/>
      <c r="X50" s="431"/>
      <c r="Y50" s="431"/>
      <c r="Z50" s="431"/>
    </row>
    <row r="51" spans="2:26" ht="14.45" customHeight="1" thickBot="1" x14ac:dyDescent="0.3">
      <c r="B51" s="113" t="s">
        <v>130</v>
      </c>
      <c r="C51" s="182" t="s">
        <v>131</v>
      </c>
      <c r="D51" s="267" t="s">
        <v>57</v>
      </c>
      <c r="E51" s="112" t="s">
        <v>132</v>
      </c>
      <c r="F51" s="112" t="s">
        <v>133</v>
      </c>
      <c r="G51" s="187" t="s">
        <v>131</v>
      </c>
      <c r="H51" s="207" t="s">
        <v>131</v>
      </c>
      <c r="I51" s="208" t="s">
        <v>57</v>
      </c>
      <c r="J51" s="209" t="s">
        <v>132</v>
      </c>
      <c r="K51" s="187" t="s">
        <v>2</v>
      </c>
      <c r="L51" s="187" t="s">
        <v>183</v>
      </c>
      <c r="M51" s="284" t="s">
        <v>135</v>
      </c>
      <c r="N51" s="285" t="s">
        <v>136</v>
      </c>
      <c r="O51" s="286" t="s">
        <v>137</v>
      </c>
      <c r="Q51" s="466"/>
      <c r="R51" s="467"/>
      <c r="S51" s="467"/>
      <c r="T51" s="468"/>
    </row>
    <row r="52" spans="2:26" hidden="1" outlineLevel="1" x14ac:dyDescent="0.25">
      <c r="B52" s="180"/>
      <c r="C52" s="346"/>
      <c r="D52" s="347"/>
      <c r="E52" s="184">
        <f>C52+D52</f>
        <v>0</v>
      </c>
      <c r="F52" s="348"/>
      <c r="G52" s="349"/>
      <c r="H52" s="206"/>
      <c r="I52" s="206"/>
      <c r="J52" s="297">
        <f>H52+I52</f>
        <v>0</v>
      </c>
      <c r="K52" s="309"/>
      <c r="L52" s="191"/>
      <c r="M52" s="194" t="str">
        <f>IF(AND(G52&gt;0,OR(C52&gt;0,F52&gt;0,H52&gt;0)),(G52-F52)/G52,"")</f>
        <v/>
      </c>
      <c r="N52" s="193" t="str">
        <f>IF(G52&gt;0,(IF(C52&gt;0,C52,H52))/G52,"")</f>
        <v/>
      </c>
      <c r="O52" s="195" t="str">
        <f>IF(M52=100%,G52-(IF(C52&gt;0,C52,H52)),"")</f>
        <v/>
      </c>
      <c r="P52" s="252">
        <v>40866</v>
      </c>
      <c r="Q52" s="466"/>
      <c r="R52" s="467"/>
      <c r="S52" s="467"/>
      <c r="T52" s="468"/>
      <c r="U52" s="261"/>
      <c r="V52" s="261"/>
      <c r="W52" s="261"/>
      <c r="X52" s="262"/>
      <c r="Y52" s="261"/>
    </row>
    <row r="53" spans="2:26" hidden="1" outlineLevel="1" x14ac:dyDescent="0.25">
      <c r="B53" s="180"/>
      <c r="C53" s="357"/>
      <c r="D53" s="358"/>
      <c r="E53" s="185">
        <f t="shared" ref="E53:E116" si="4">C53+D53</f>
        <v>0</v>
      </c>
      <c r="F53" s="359"/>
      <c r="G53" s="349"/>
      <c r="H53" s="206"/>
      <c r="I53" s="206"/>
      <c r="J53" s="297">
        <f t="shared" ref="J53:J116" si="5">H53+I53</f>
        <v>0</v>
      </c>
      <c r="K53" s="309"/>
      <c r="L53" s="191"/>
      <c r="M53" s="194" t="str">
        <f t="shared" ref="M53:M116" si="6">IF(AND(G53&gt;0,OR(C53&gt;0,F53&gt;0,H53&gt;0)),(G53-F53)/G53,"")</f>
        <v/>
      </c>
      <c r="N53" s="193" t="str">
        <f t="shared" ref="N53:N116" si="7">IF(G53&gt;0,(IF(C53&gt;0,C53,H53))/G53,"")</f>
        <v/>
      </c>
      <c r="O53" s="195" t="str">
        <f t="shared" ref="O53:O116" si="8">IF(M53=100%,G53-(IF(C53&gt;0,C53,H53)),"")</f>
        <v/>
      </c>
      <c r="P53" s="252">
        <v>40867</v>
      </c>
      <c r="Q53" s="466"/>
      <c r="R53" s="467"/>
      <c r="S53" s="467"/>
      <c r="T53" s="468"/>
      <c r="U53" s="261"/>
      <c r="V53" s="261"/>
      <c r="W53" s="261"/>
      <c r="X53" s="262"/>
      <c r="Y53" s="261"/>
    </row>
    <row r="54" spans="2:26" hidden="1" outlineLevel="1" x14ac:dyDescent="0.25">
      <c r="B54" s="180"/>
      <c r="C54" s="357"/>
      <c r="D54" s="358"/>
      <c r="E54" s="185">
        <f t="shared" si="4"/>
        <v>0</v>
      </c>
      <c r="F54" s="359"/>
      <c r="G54" s="349"/>
      <c r="H54" s="206"/>
      <c r="I54" s="206"/>
      <c r="J54" s="297">
        <f t="shared" si="5"/>
        <v>0</v>
      </c>
      <c r="K54" s="309"/>
      <c r="L54" s="191"/>
      <c r="M54" s="194" t="str">
        <f t="shared" si="6"/>
        <v/>
      </c>
      <c r="N54" s="193" t="str">
        <f t="shared" si="7"/>
        <v/>
      </c>
      <c r="O54" s="195" t="str">
        <f t="shared" si="8"/>
        <v/>
      </c>
      <c r="P54" s="252">
        <v>40868</v>
      </c>
      <c r="Q54" s="466"/>
      <c r="R54" s="467"/>
      <c r="S54" s="467"/>
      <c r="T54" s="468"/>
      <c r="U54" s="261"/>
      <c r="V54" s="261"/>
      <c r="W54" s="261"/>
      <c r="X54" s="262"/>
      <c r="Y54" s="261"/>
    </row>
    <row r="55" spans="2:26" hidden="1" outlineLevel="1" x14ac:dyDescent="0.25">
      <c r="B55" s="180"/>
      <c r="C55" s="357"/>
      <c r="D55" s="358"/>
      <c r="E55" s="185">
        <f t="shared" si="4"/>
        <v>0</v>
      </c>
      <c r="F55" s="359"/>
      <c r="G55" s="349"/>
      <c r="H55" s="206"/>
      <c r="I55" s="206"/>
      <c r="J55" s="297">
        <f t="shared" si="5"/>
        <v>0</v>
      </c>
      <c r="K55" s="309"/>
      <c r="L55" s="191"/>
      <c r="M55" s="194" t="str">
        <f t="shared" si="6"/>
        <v/>
      </c>
      <c r="N55" s="193" t="str">
        <f t="shared" si="7"/>
        <v/>
      </c>
      <c r="O55" s="195" t="str">
        <f t="shared" si="8"/>
        <v/>
      </c>
      <c r="P55" s="252">
        <v>40869</v>
      </c>
      <c r="Q55" s="466"/>
      <c r="R55" s="467"/>
      <c r="S55" s="467"/>
      <c r="T55" s="468"/>
      <c r="U55" s="261"/>
      <c r="V55" s="261"/>
      <c r="W55" s="261"/>
      <c r="X55" s="262"/>
      <c r="Y55" s="261"/>
    </row>
    <row r="56" spans="2:26" hidden="1" outlineLevel="1" x14ac:dyDescent="0.25">
      <c r="B56" s="180"/>
      <c r="C56" s="357"/>
      <c r="D56" s="358"/>
      <c r="E56" s="185">
        <f t="shared" si="4"/>
        <v>0</v>
      </c>
      <c r="F56" s="359"/>
      <c r="G56" s="349"/>
      <c r="H56" s="206"/>
      <c r="I56" s="206"/>
      <c r="J56" s="297">
        <f t="shared" si="5"/>
        <v>0</v>
      </c>
      <c r="K56" s="309"/>
      <c r="L56" s="191"/>
      <c r="M56" s="194" t="str">
        <f t="shared" si="6"/>
        <v/>
      </c>
      <c r="N56" s="193" t="str">
        <f t="shared" si="7"/>
        <v/>
      </c>
      <c r="O56" s="195" t="str">
        <f t="shared" si="8"/>
        <v/>
      </c>
      <c r="P56" s="252">
        <v>40870</v>
      </c>
      <c r="Q56" s="466"/>
      <c r="R56" s="467"/>
      <c r="S56" s="467"/>
      <c r="T56" s="468"/>
      <c r="U56" s="261"/>
      <c r="V56" s="261"/>
      <c r="W56" s="261"/>
      <c r="X56" s="262"/>
      <c r="Y56" s="261"/>
    </row>
    <row r="57" spans="2:26" hidden="1" outlineLevel="1" x14ac:dyDescent="0.25">
      <c r="B57" s="180"/>
      <c r="C57" s="357"/>
      <c r="D57" s="358"/>
      <c r="E57" s="185">
        <f t="shared" si="4"/>
        <v>0</v>
      </c>
      <c r="F57" s="359"/>
      <c r="G57" s="349"/>
      <c r="H57" s="206"/>
      <c r="I57" s="206"/>
      <c r="J57" s="297">
        <f t="shared" si="5"/>
        <v>0</v>
      </c>
      <c r="K57" s="309"/>
      <c r="L57" s="191"/>
      <c r="M57" s="194" t="str">
        <f t="shared" si="6"/>
        <v/>
      </c>
      <c r="N57" s="193" t="str">
        <f t="shared" si="7"/>
        <v/>
      </c>
      <c r="O57" s="195" t="str">
        <f t="shared" si="8"/>
        <v/>
      </c>
      <c r="P57" s="252">
        <v>40871</v>
      </c>
      <c r="Q57" s="466"/>
      <c r="R57" s="467"/>
      <c r="S57" s="467"/>
      <c r="T57" s="468"/>
      <c r="U57" s="261"/>
      <c r="V57" s="261"/>
      <c r="W57" s="261"/>
      <c r="X57" s="262"/>
      <c r="Y57" s="261"/>
    </row>
    <row r="58" spans="2:26" hidden="1" outlineLevel="1" x14ac:dyDescent="0.25">
      <c r="B58" s="180"/>
      <c r="C58" s="357"/>
      <c r="D58" s="358"/>
      <c r="E58" s="185">
        <f t="shared" si="4"/>
        <v>0</v>
      </c>
      <c r="F58" s="359"/>
      <c r="G58" s="349"/>
      <c r="H58" s="206"/>
      <c r="I58" s="206"/>
      <c r="J58" s="297">
        <f t="shared" si="5"/>
        <v>0</v>
      </c>
      <c r="K58" s="309"/>
      <c r="L58" s="191"/>
      <c r="M58" s="194" t="str">
        <f t="shared" si="6"/>
        <v/>
      </c>
      <c r="N58" s="193" t="str">
        <f t="shared" si="7"/>
        <v/>
      </c>
      <c r="O58" s="195" t="str">
        <f t="shared" si="8"/>
        <v/>
      </c>
      <c r="P58" s="252">
        <v>40872</v>
      </c>
      <c r="Q58" s="466"/>
      <c r="R58" s="467"/>
      <c r="S58" s="467"/>
      <c r="T58" s="468"/>
      <c r="U58" s="261"/>
      <c r="V58" s="261"/>
      <c r="W58" s="261"/>
      <c r="X58" s="262"/>
      <c r="Y58" s="261"/>
    </row>
    <row r="59" spans="2:26" hidden="1" outlineLevel="1" x14ac:dyDescent="0.25">
      <c r="B59" s="180"/>
      <c r="C59" s="357"/>
      <c r="D59" s="358"/>
      <c r="E59" s="185">
        <f t="shared" si="4"/>
        <v>0</v>
      </c>
      <c r="F59" s="359"/>
      <c r="G59" s="349"/>
      <c r="H59" s="206"/>
      <c r="I59" s="206"/>
      <c r="J59" s="297">
        <f t="shared" si="5"/>
        <v>0</v>
      </c>
      <c r="K59" s="309"/>
      <c r="L59" s="191"/>
      <c r="M59" s="194" t="str">
        <f t="shared" si="6"/>
        <v/>
      </c>
      <c r="N59" s="193" t="str">
        <f t="shared" si="7"/>
        <v/>
      </c>
      <c r="O59" s="195" t="str">
        <f t="shared" si="8"/>
        <v/>
      </c>
      <c r="P59" s="252">
        <v>40882</v>
      </c>
      <c r="Q59" s="466"/>
      <c r="R59" s="467"/>
      <c r="S59" s="467"/>
      <c r="T59" s="468"/>
      <c r="U59" s="261"/>
      <c r="V59" s="261"/>
      <c r="W59" s="261"/>
      <c r="X59" s="262"/>
      <c r="Y59" s="261"/>
    </row>
    <row r="60" spans="2:26" hidden="1" outlineLevel="1" x14ac:dyDescent="0.25">
      <c r="B60" s="180"/>
      <c r="C60" s="357"/>
      <c r="D60" s="358"/>
      <c r="E60" s="185">
        <f t="shared" si="4"/>
        <v>0</v>
      </c>
      <c r="F60" s="359"/>
      <c r="G60" s="349"/>
      <c r="H60" s="206"/>
      <c r="I60" s="206"/>
      <c r="J60" s="297">
        <f t="shared" si="5"/>
        <v>0</v>
      </c>
      <c r="K60" s="309"/>
      <c r="L60" s="191"/>
      <c r="M60" s="194" t="str">
        <f t="shared" si="6"/>
        <v/>
      </c>
      <c r="N60" s="193" t="str">
        <f t="shared" si="7"/>
        <v/>
      </c>
      <c r="O60" s="195" t="str">
        <f t="shared" si="8"/>
        <v/>
      </c>
      <c r="P60" s="252">
        <v>41044</v>
      </c>
      <c r="Q60" s="466"/>
      <c r="R60" s="467"/>
      <c r="S60" s="467"/>
      <c r="T60" s="468"/>
      <c r="U60" s="261"/>
      <c r="V60" s="261"/>
      <c r="W60" s="261"/>
      <c r="X60" s="262"/>
      <c r="Y60" s="261"/>
    </row>
    <row r="61" spans="2:26" hidden="1" outlineLevel="1" x14ac:dyDescent="0.25">
      <c r="B61" s="180"/>
      <c r="C61" s="357"/>
      <c r="D61" s="358"/>
      <c r="E61" s="185">
        <f t="shared" si="4"/>
        <v>0</v>
      </c>
      <c r="F61" s="359"/>
      <c r="G61" s="349"/>
      <c r="H61" s="206"/>
      <c r="I61" s="206"/>
      <c r="J61" s="297">
        <f t="shared" si="5"/>
        <v>0</v>
      </c>
      <c r="K61" s="309"/>
      <c r="L61" s="191"/>
      <c r="M61" s="194" t="str">
        <f t="shared" si="6"/>
        <v/>
      </c>
      <c r="N61" s="193" t="str">
        <f t="shared" si="7"/>
        <v/>
      </c>
      <c r="O61" s="195" t="str">
        <f t="shared" si="8"/>
        <v/>
      </c>
      <c r="P61" s="252"/>
      <c r="Q61" s="466"/>
      <c r="R61" s="467"/>
      <c r="S61" s="467"/>
      <c r="T61" s="468"/>
      <c r="U61" s="261"/>
      <c r="V61" s="261"/>
      <c r="W61" s="261"/>
      <c r="X61" s="262"/>
      <c r="Y61" s="261"/>
    </row>
    <row r="62" spans="2:26" hidden="1" outlineLevel="1" x14ac:dyDescent="0.25">
      <c r="B62" s="180"/>
      <c r="C62" s="357"/>
      <c r="D62" s="358"/>
      <c r="E62" s="185">
        <f t="shared" si="4"/>
        <v>0</v>
      </c>
      <c r="F62" s="359"/>
      <c r="G62" s="349"/>
      <c r="H62" s="206"/>
      <c r="I62" s="206"/>
      <c r="J62" s="297">
        <f t="shared" si="5"/>
        <v>0</v>
      </c>
      <c r="K62" s="309"/>
      <c r="L62" s="191"/>
      <c r="M62" s="194" t="str">
        <f t="shared" si="6"/>
        <v/>
      </c>
      <c r="N62" s="193" t="str">
        <f t="shared" si="7"/>
        <v/>
      </c>
      <c r="O62" s="195" t="str">
        <f t="shared" si="8"/>
        <v/>
      </c>
      <c r="P62" s="252"/>
      <c r="Q62" s="466"/>
      <c r="R62" s="467"/>
      <c r="S62" s="467"/>
      <c r="T62" s="468"/>
      <c r="U62" s="261"/>
      <c r="V62" s="261"/>
      <c r="W62" s="261"/>
      <c r="X62" s="262"/>
      <c r="Y62" s="261"/>
    </row>
    <row r="63" spans="2:26" hidden="1" outlineLevel="1" x14ac:dyDescent="0.25">
      <c r="B63" s="180"/>
      <c r="C63" s="357"/>
      <c r="D63" s="358"/>
      <c r="E63" s="185">
        <f t="shared" si="4"/>
        <v>0</v>
      </c>
      <c r="F63" s="359"/>
      <c r="G63" s="349"/>
      <c r="H63" s="206"/>
      <c r="I63" s="206"/>
      <c r="J63" s="297">
        <f t="shared" si="5"/>
        <v>0</v>
      </c>
      <c r="K63" s="309"/>
      <c r="L63" s="191"/>
      <c r="M63" s="194" t="str">
        <f t="shared" si="6"/>
        <v/>
      </c>
      <c r="N63" s="193" t="str">
        <f t="shared" si="7"/>
        <v/>
      </c>
      <c r="O63" s="195" t="str">
        <f t="shared" si="8"/>
        <v/>
      </c>
      <c r="P63" s="252"/>
      <c r="Q63" s="466"/>
      <c r="R63" s="467"/>
      <c r="S63" s="467"/>
      <c r="T63" s="468"/>
      <c r="U63" s="261"/>
      <c r="V63" s="261"/>
      <c r="W63" s="261"/>
      <c r="X63" s="262"/>
      <c r="Y63" s="261"/>
    </row>
    <row r="64" spans="2:26" hidden="1" outlineLevel="1" x14ac:dyDescent="0.25">
      <c r="B64" s="180"/>
      <c r="C64" s="357"/>
      <c r="D64" s="358"/>
      <c r="E64" s="185">
        <f t="shared" si="4"/>
        <v>0</v>
      </c>
      <c r="F64" s="359"/>
      <c r="G64" s="349"/>
      <c r="H64" s="206"/>
      <c r="I64" s="206"/>
      <c r="J64" s="297">
        <f t="shared" si="5"/>
        <v>0</v>
      </c>
      <c r="K64" s="309"/>
      <c r="L64" s="191"/>
      <c r="M64" s="194" t="str">
        <f t="shared" si="6"/>
        <v/>
      </c>
      <c r="N64" s="193" t="str">
        <f t="shared" si="7"/>
        <v/>
      </c>
      <c r="O64" s="195" t="str">
        <f t="shared" si="8"/>
        <v/>
      </c>
      <c r="P64" s="252"/>
      <c r="Q64" s="466"/>
      <c r="R64" s="467"/>
      <c r="S64" s="467"/>
      <c r="T64" s="468"/>
      <c r="U64" s="261"/>
      <c r="V64" s="261"/>
      <c r="W64" s="261"/>
      <c r="X64" s="262"/>
      <c r="Y64" s="261"/>
    </row>
    <row r="65" spans="2:25" hidden="1" outlineLevel="1" x14ac:dyDescent="0.25">
      <c r="B65" s="180"/>
      <c r="C65" s="357"/>
      <c r="D65" s="358"/>
      <c r="E65" s="185">
        <f t="shared" si="4"/>
        <v>0</v>
      </c>
      <c r="F65" s="359"/>
      <c r="G65" s="349"/>
      <c r="H65" s="206"/>
      <c r="I65" s="206"/>
      <c r="J65" s="297">
        <f t="shared" si="5"/>
        <v>0</v>
      </c>
      <c r="K65" s="309"/>
      <c r="L65" s="191"/>
      <c r="M65" s="194" t="str">
        <f t="shared" si="6"/>
        <v/>
      </c>
      <c r="N65" s="193" t="str">
        <f t="shared" si="7"/>
        <v/>
      </c>
      <c r="O65" s="195" t="str">
        <f t="shared" si="8"/>
        <v/>
      </c>
      <c r="P65" s="252"/>
      <c r="Q65" s="466"/>
      <c r="R65" s="467"/>
      <c r="S65" s="467"/>
      <c r="T65" s="468"/>
      <c r="U65" s="261"/>
      <c r="V65" s="261"/>
      <c r="W65" s="261"/>
      <c r="X65" s="262"/>
      <c r="Y65" s="261"/>
    </row>
    <row r="66" spans="2:25" hidden="1" outlineLevel="1" x14ac:dyDescent="0.25">
      <c r="B66" s="180"/>
      <c r="C66" s="357"/>
      <c r="D66" s="358"/>
      <c r="E66" s="185">
        <f t="shared" si="4"/>
        <v>0</v>
      </c>
      <c r="F66" s="359"/>
      <c r="G66" s="349"/>
      <c r="H66" s="206"/>
      <c r="I66" s="206"/>
      <c r="J66" s="297">
        <f t="shared" si="5"/>
        <v>0</v>
      </c>
      <c r="K66" s="309"/>
      <c r="L66" s="191"/>
      <c r="M66" s="194" t="str">
        <f t="shared" si="6"/>
        <v/>
      </c>
      <c r="N66" s="193" t="str">
        <f t="shared" si="7"/>
        <v/>
      </c>
      <c r="O66" s="195" t="str">
        <f t="shared" si="8"/>
        <v/>
      </c>
      <c r="P66" s="252"/>
      <c r="Q66" s="466"/>
      <c r="R66" s="467"/>
      <c r="S66" s="467"/>
      <c r="T66" s="468"/>
      <c r="U66" s="261"/>
      <c r="V66" s="261"/>
      <c r="W66" s="261"/>
      <c r="X66" s="262"/>
      <c r="Y66" s="261"/>
    </row>
    <row r="67" spans="2:25" hidden="1" outlineLevel="1" x14ac:dyDescent="0.25">
      <c r="B67" s="180"/>
      <c r="C67" s="357"/>
      <c r="D67" s="358"/>
      <c r="E67" s="185">
        <f t="shared" si="4"/>
        <v>0</v>
      </c>
      <c r="F67" s="359"/>
      <c r="G67" s="349"/>
      <c r="H67" s="206"/>
      <c r="I67" s="206"/>
      <c r="J67" s="297">
        <f t="shared" si="5"/>
        <v>0</v>
      </c>
      <c r="K67" s="309"/>
      <c r="L67" s="191"/>
      <c r="M67" s="194" t="str">
        <f t="shared" si="6"/>
        <v/>
      </c>
      <c r="N67" s="193" t="str">
        <f t="shared" si="7"/>
        <v/>
      </c>
      <c r="O67" s="195" t="str">
        <f t="shared" si="8"/>
        <v/>
      </c>
      <c r="P67" s="252"/>
      <c r="Q67" s="466"/>
      <c r="R67" s="467"/>
      <c r="S67" s="467"/>
      <c r="T67" s="468"/>
      <c r="U67" s="261"/>
      <c r="V67" s="261"/>
      <c r="W67" s="261"/>
      <c r="X67" s="262"/>
      <c r="Y67" s="261"/>
    </row>
    <row r="68" spans="2:25" hidden="1" outlineLevel="1" x14ac:dyDescent="0.25">
      <c r="B68" s="180"/>
      <c r="C68" s="357"/>
      <c r="D68" s="358"/>
      <c r="E68" s="185">
        <f t="shared" si="4"/>
        <v>0</v>
      </c>
      <c r="F68" s="359"/>
      <c r="G68" s="349"/>
      <c r="H68" s="206"/>
      <c r="I68" s="206"/>
      <c r="J68" s="297">
        <f t="shared" si="5"/>
        <v>0</v>
      </c>
      <c r="K68" s="309"/>
      <c r="L68" s="191"/>
      <c r="M68" s="194" t="str">
        <f t="shared" si="6"/>
        <v/>
      </c>
      <c r="N68" s="193" t="str">
        <f t="shared" si="7"/>
        <v/>
      </c>
      <c r="O68" s="195" t="str">
        <f t="shared" si="8"/>
        <v/>
      </c>
      <c r="P68" s="252"/>
      <c r="Q68" s="466"/>
      <c r="R68" s="467"/>
      <c r="S68" s="467"/>
      <c r="T68" s="468"/>
      <c r="U68" s="261"/>
      <c r="V68" s="261"/>
      <c r="W68" s="261"/>
      <c r="X68" s="262"/>
      <c r="Y68" s="261"/>
    </row>
    <row r="69" spans="2:25" hidden="1" outlineLevel="1" x14ac:dyDescent="0.25">
      <c r="B69" s="180"/>
      <c r="C69" s="357"/>
      <c r="D69" s="358"/>
      <c r="E69" s="185">
        <f t="shared" si="4"/>
        <v>0</v>
      </c>
      <c r="F69" s="359"/>
      <c r="G69" s="349"/>
      <c r="H69" s="206"/>
      <c r="I69" s="206"/>
      <c r="J69" s="297">
        <f t="shared" si="5"/>
        <v>0</v>
      </c>
      <c r="K69" s="309"/>
      <c r="L69" s="191"/>
      <c r="M69" s="194" t="str">
        <f t="shared" si="6"/>
        <v/>
      </c>
      <c r="N69" s="193" t="str">
        <f t="shared" si="7"/>
        <v/>
      </c>
      <c r="O69" s="195" t="str">
        <f t="shared" si="8"/>
        <v/>
      </c>
      <c r="P69" s="252"/>
      <c r="Q69" s="466"/>
      <c r="R69" s="467"/>
      <c r="S69" s="467"/>
      <c r="T69" s="468"/>
      <c r="U69" s="261"/>
      <c r="V69" s="261"/>
      <c r="W69" s="261"/>
      <c r="X69" s="262"/>
      <c r="Y69" s="261"/>
    </row>
    <row r="70" spans="2:25" hidden="1" outlineLevel="1" x14ac:dyDescent="0.25">
      <c r="B70" s="180"/>
      <c r="C70" s="357"/>
      <c r="D70" s="358"/>
      <c r="E70" s="185">
        <f t="shared" si="4"/>
        <v>0</v>
      </c>
      <c r="F70" s="359"/>
      <c r="G70" s="349"/>
      <c r="H70" s="206"/>
      <c r="I70" s="206"/>
      <c r="J70" s="297">
        <f t="shared" si="5"/>
        <v>0</v>
      </c>
      <c r="K70" s="309"/>
      <c r="L70" s="191"/>
      <c r="M70" s="194" t="str">
        <f t="shared" si="6"/>
        <v/>
      </c>
      <c r="N70" s="193" t="str">
        <f t="shared" si="7"/>
        <v/>
      </c>
      <c r="O70" s="195" t="str">
        <f t="shared" si="8"/>
        <v/>
      </c>
      <c r="P70" s="252"/>
      <c r="Q70" s="466"/>
      <c r="R70" s="467"/>
      <c r="S70" s="467"/>
      <c r="T70" s="468"/>
      <c r="U70" s="261"/>
      <c r="V70" s="261"/>
      <c r="W70" s="261"/>
      <c r="X70" s="262"/>
      <c r="Y70" s="261"/>
    </row>
    <row r="71" spans="2:25" hidden="1" outlineLevel="1" x14ac:dyDescent="0.25">
      <c r="B71" s="180"/>
      <c r="C71" s="357"/>
      <c r="D71" s="358"/>
      <c r="E71" s="185">
        <f t="shared" si="4"/>
        <v>0</v>
      </c>
      <c r="F71" s="359"/>
      <c r="G71" s="349"/>
      <c r="H71" s="206"/>
      <c r="I71" s="206"/>
      <c r="J71" s="297">
        <f t="shared" si="5"/>
        <v>0</v>
      </c>
      <c r="K71" s="309"/>
      <c r="L71" s="191"/>
      <c r="M71" s="194" t="str">
        <f t="shared" si="6"/>
        <v/>
      </c>
      <c r="N71" s="193" t="str">
        <f t="shared" si="7"/>
        <v/>
      </c>
      <c r="O71" s="195" t="str">
        <f t="shared" si="8"/>
        <v/>
      </c>
      <c r="P71" s="252"/>
      <c r="Q71" s="466"/>
      <c r="R71" s="467"/>
      <c r="S71" s="467"/>
      <c r="T71" s="468"/>
      <c r="U71" s="261"/>
      <c r="V71" s="261"/>
      <c r="W71" s="261"/>
      <c r="X71" s="262"/>
      <c r="Y71" s="261"/>
    </row>
    <row r="72" spans="2:25" hidden="1" outlineLevel="1" x14ac:dyDescent="0.25">
      <c r="B72" s="180"/>
      <c r="C72" s="357"/>
      <c r="D72" s="358"/>
      <c r="E72" s="185">
        <f t="shared" si="4"/>
        <v>0</v>
      </c>
      <c r="F72" s="359"/>
      <c r="G72" s="349"/>
      <c r="H72" s="206"/>
      <c r="I72" s="206"/>
      <c r="J72" s="297">
        <f t="shared" si="5"/>
        <v>0</v>
      </c>
      <c r="K72" s="309"/>
      <c r="L72" s="191"/>
      <c r="M72" s="194" t="str">
        <f t="shared" si="6"/>
        <v/>
      </c>
      <c r="N72" s="193" t="str">
        <f t="shared" si="7"/>
        <v/>
      </c>
      <c r="O72" s="195" t="str">
        <f t="shared" si="8"/>
        <v/>
      </c>
      <c r="P72" s="252"/>
      <c r="Q72" s="466"/>
      <c r="R72" s="467"/>
      <c r="S72" s="467"/>
      <c r="T72" s="468"/>
      <c r="U72" s="261"/>
      <c r="V72" s="261"/>
      <c r="W72" s="261"/>
      <c r="X72" s="262"/>
      <c r="Y72" s="261"/>
    </row>
    <row r="73" spans="2:25" hidden="1" outlineLevel="1" x14ac:dyDescent="0.25">
      <c r="B73" s="180"/>
      <c r="C73" s="357"/>
      <c r="D73" s="358"/>
      <c r="E73" s="185">
        <f t="shared" si="4"/>
        <v>0</v>
      </c>
      <c r="F73" s="359"/>
      <c r="G73" s="349"/>
      <c r="H73" s="206"/>
      <c r="I73" s="206"/>
      <c r="J73" s="297">
        <f t="shared" si="5"/>
        <v>0</v>
      </c>
      <c r="K73" s="309"/>
      <c r="L73" s="191"/>
      <c r="M73" s="194" t="str">
        <f t="shared" si="6"/>
        <v/>
      </c>
      <c r="N73" s="193" t="str">
        <f t="shared" si="7"/>
        <v/>
      </c>
      <c r="O73" s="195" t="str">
        <f t="shared" si="8"/>
        <v/>
      </c>
      <c r="P73" s="252"/>
      <c r="Q73" s="466"/>
      <c r="R73" s="467"/>
      <c r="S73" s="467"/>
      <c r="T73" s="468"/>
      <c r="U73" s="261"/>
      <c r="V73" s="261"/>
      <c r="W73" s="261"/>
      <c r="X73" s="262"/>
      <c r="Y73" s="261"/>
    </row>
    <row r="74" spans="2:25" hidden="1" outlineLevel="1" x14ac:dyDescent="0.25">
      <c r="B74" s="180"/>
      <c r="C74" s="357"/>
      <c r="D74" s="358"/>
      <c r="E74" s="185">
        <f t="shared" si="4"/>
        <v>0</v>
      </c>
      <c r="F74" s="359"/>
      <c r="G74" s="349"/>
      <c r="H74" s="206"/>
      <c r="I74" s="206"/>
      <c r="J74" s="297">
        <f t="shared" si="5"/>
        <v>0</v>
      </c>
      <c r="K74" s="309"/>
      <c r="L74" s="191"/>
      <c r="M74" s="194" t="str">
        <f t="shared" si="6"/>
        <v/>
      </c>
      <c r="N74" s="193" t="str">
        <f t="shared" si="7"/>
        <v/>
      </c>
      <c r="O74" s="195" t="str">
        <f t="shared" si="8"/>
        <v/>
      </c>
      <c r="P74" s="252"/>
      <c r="Q74" s="466"/>
      <c r="R74" s="467"/>
      <c r="S74" s="467"/>
      <c r="T74" s="468"/>
      <c r="U74" s="261"/>
      <c r="V74" s="261"/>
      <c r="W74" s="261"/>
      <c r="X74" s="262"/>
      <c r="Y74" s="261"/>
    </row>
    <row r="75" spans="2:25" hidden="1" outlineLevel="1" x14ac:dyDescent="0.25">
      <c r="B75" s="180"/>
      <c r="C75" s="357"/>
      <c r="D75" s="358"/>
      <c r="E75" s="185">
        <f t="shared" si="4"/>
        <v>0</v>
      </c>
      <c r="F75" s="359"/>
      <c r="G75" s="349"/>
      <c r="H75" s="206"/>
      <c r="I75" s="206"/>
      <c r="J75" s="297">
        <f t="shared" si="5"/>
        <v>0</v>
      </c>
      <c r="K75" s="309"/>
      <c r="L75" s="191"/>
      <c r="M75" s="194" t="str">
        <f t="shared" si="6"/>
        <v/>
      </c>
      <c r="N75" s="193" t="str">
        <f t="shared" si="7"/>
        <v/>
      </c>
      <c r="O75" s="195" t="str">
        <f t="shared" si="8"/>
        <v/>
      </c>
      <c r="P75" s="252"/>
      <c r="Q75" s="466"/>
      <c r="R75" s="467"/>
      <c r="S75" s="467"/>
      <c r="T75" s="468"/>
      <c r="U75" s="261"/>
      <c r="V75" s="261"/>
      <c r="W75" s="261"/>
      <c r="X75" s="262"/>
      <c r="Y75" s="261"/>
    </row>
    <row r="76" spans="2:25" hidden="1" outlineLevel="1" x14ac:dyDescent="0.25">
      <c r="B76" s="180"/>
      <c r="C76" s="357"/>
      <c r="D76" s="358"/>
      <c r="E76" s="185">
        <f t="shared" si="4"/>
        <v>0</v>
      </c>
      <c r="F76" s="359"/>
      <c r="G76" s="349"/>
      <c r="H76" s="206"/>
      <c r="I76" s="206"/>
      <c r="J76" s="297">
        <f t="shared" si="5"/>
        <v>0</v>
      </c>
      <c r="K76" s="309"/>
      <c r="L76" s="191"/>
      <c r="M76" s="194" t="str">
        <f t="shared" si="6"/>
        <v/>
      </c>
      <c r="N76" s="193" t="str">
        <f t="shared" si="7"/>
        <v/>
      </c>
      <c r="O76" s="195" t="str">
        <f t="shared" si="8"/>
        <v/>
      </c>
      <c r="P76" s="252"/>
      <c r="Q76" s="466"/>
      <c r="R76" s="467"/>
      <c r="S76" s="467"/>
      <c r="T76" s="468"/>
      <c r="U76" s="261"/>
      <c r="V76" s="261"/>
      <c r="W76" s="261"/>
      <c r="X76" s="262"/>
      <c r="Y76" s="261"/>
    </row>
    <row r="77" spans="2:25" hidden="1" outlineLevel="1" x14ac:dyDescent="0.25">
      <c r="B77" s="180"/>
      <c r="C77" s="357"/>
      <c r="D77" s="358"/>
      <c r="E77" s="185">
        <f t="shared" si="4"/>
        <v>0</v>
      </c>
      <c r="F77" s="359"/>
      <c r="G77" s="349"/>
      <c r="H77" s="206"/>
      <c r="I77" s="206"/>
      <c r="J77" s="297">
        <f t="shared" si="5"/>
        <v>0</v>
      </c>
      <c r="K77" s="309"/>
      <c r="L77" s="191"/>
      <c r="M77" s="194" t="str">
        <f t="shared" si="6"/>
        <v/>
      </c>
      <c r="N77" s="193" t="str">
        <f t="shared" si="7"/>
        <v/>
      </c>
      <c r="O77" s="195" t="str">
        <f t="shared" si="8"/>
        <v/>
      </c>
      <c r="P77" s="252"/>
      <c r="Q77" s="466"/>
      <c r="R77" s="467"/>
      <c r="S77" s="467"/>
      <c r="T77" s="468"/>
      <c r="U77" s="261"/>
      <c r="V77" s="261"/>
      <c r="W77" s="261"/>
      <c r="X77" s="262"/>
      <c r="Y77" s="261"/>
    </row>
    <row r="78" spans="2:25" hidden="1" outlineLevel="1" x14ac:dyDescent="0.25">
      <c r="B78" s="180"/>
      <c r="C78" s="357"/>
      <c r="D78" s="358"/>
      <c r="E78" s="185">
        <f t="shared" si="4"/>
        <v>0</v>
      </c>
      <c r="F78" s="359"/>
      <c r="G78" s="349"/>
      <c r="H78" s="206"/>
      <c r="I78" s="206"/>
      <c r="J78" s="297">
        <f t="shared" si="5"/>
        <v>0</v>
      </c>
      <c r="K78" s="309"/>
      <c r="L78" s="191"/>
      <c r="M78" s="194" t="str">
        <f t="shared" si="6"/>
        <v/>
      </c>
      <c r="N78" s="193" t="str">
        <f t="shared" si="7"/>
        <v/>
      </c>
      <c r="O78" s="195" t="str">
        <f t="shared" si="8"/>
        <v/>
      </c>
      <c r="P78" s="252"/>
      <c r="Q78" s="466"/>
      <c r="R78" s="467"/>
      <c r="S78" s="467"/>
      <c r="T78" s="468"/>
      <c r="U78" s="261"/>
      <c r="V78" s="261"/>
      <c r="W78" s="261"/>
      <c r="X78" s="262"/>
      <c r="Y78" s="261"/>
    </row>
    <row r="79" spans="2:25" hidden="1" outlineLevel="1" x14ac:dyDescent="0.25">
      <c r="B79" s="180"/>
      <c r="C79" s="357"/>
      <c r="D79" s="358"/>
      <c r="E79" s="185">
        <f t="shared" si="4"/>
        <v>0</v>
      </c>
      <c r="F79" s="359"/>
      <c r="G79" s="349"/>
      <c r="H79" s="206"/>
      <c r="I79" s="206"/>
      <c r="J79" s="297">
        <f t="shared" si="5"/>
        <v>0</v>
      </c>
      <c r="K79" s="309"/>
      <c r="L79" s="191"/>
      <c r="M79" s="194" t="str">
        <f t="shared" si="6"/>
        <v/>
      </c>
      <c r="N79" s="193" t="str">
        <f t="shared" si="7"/>
        <v/>
      </c>
      <c r="O79" s="195" t="str">
        <f t="shared" si="8"/>
        <v/>
      </c>
      <c r="P79" s="252"/>
      <c r="Q79" s="466"/>
      <c r="R79" s="467"/>
      <c r="S79" s="467"/>
      <c r="T79" s="468"/>
      <c r="U79" s="261"/>
      <c r="V79" s="261"/>
      <c r="W79" s="261"/>
      <c r="X79" s="262"/>
      <c r="Y79" s="261"/>
    </row>
    <row r="80" spans="2:25" hidden="1" outlineLevel="1" x14ac:dyDescent="0.25">
      <c r="B80" s="180"/>
      <c r="C80" s="357"/>
      <c r="D80" s="358"/>
      <c r="E80" s="185">
        <f t="shared" si="4"/>
        <v>0</v>
      </c>
      <c r="F80" s="359"/>
      <c r="G80" s="349"/>
      <c r="H80" s="206"/>
      <c r="I80" s="206"/>
      <c r="J80" s="297">
        <f t="shared" si="5"/>
        <v>0</v>
      </c>
      <c r="K80" s="309"/>
      <c r="L80" s="191"/>
      <c r="M80" s="194" t="str">
        <f t="shared" si="6"/>
        <v/>
      </c>
      <c r="N80" s="193" t="str">
        <f t="shared" si="7"/>
        <v/>
      </c>
      <c r="O80" s="195" t="str">
        <f t="shared" si="8"/>
        <v/>
      </c>
      <c r="P80" s="252"/>
      <c r="Q80" s="466"/>
      <c r="R80" s="467"/>
      <c r="S80" s="467"/>
      <c r="T80" s="468"/>
      <c r="U80" s="261"/>
      <c r="V80" s="261"/>
      <c r="W80" s="261"/>
      <c r="X80" s="262"/>
      <c r="Y80" s="261"/>
    </row>
    <row r="81" spans="2:25" hidden="1" outlineLevel="1" x14ac:dyDescent="0.25">
      <c r="B81" s="180"/>
      <c r="C81" s="357"/>
      <c r="D81" s="358"/>
      <c r="E81" s="185">
        <f t="shared" si="4"/>
        <v>0</v>
      </c>
      <c r="F81" s="359"/>
      <c r="G81" s="349"/>
      <c r="H81" s="206"/>
      <c r="I81" s="206"/>
      <c r="J81" s="297">
        <f t="shared" si="5"/>
        <v>0</v>
      </c>
      <c r="K81" s="309"/>
      <c r="L81" s="191"/>
      <c r="M81" s="194" t="str">
        <f t="shared" si="6"/>
        <v/>
      </c>
      <c r="N81" s="193" t="str">
        <f t="shared" si="7"/>
        <v/>
      </c>
      <c r="O81" s="195" t="str">
        <f t="shared" si="8"/>
        <v/>
      </c>
      <c r="P81" s="252"/>
      <c r="Q81" s="466"/>
      <c r="R81" s="467"/>
      <c r="S81" s="467"/>
      <c r="T81" s="468"/>
      <c r="U81" s="261"/>
      <c r="V81" s="261"/>
      <c r="W81" s="261"/>
      <c r="X81" s="262"/>
      <c r="Y81" s="261"/>
    </row>
    <row r="82" spans="2:25" hidden="1" outlineLevel="1" x14ac:dyDescent="0.25">
      <c r="B82" s="180"/>
      <c r="C82" s="357"/>
      <c r="D82" s="358"/>
      <c r="E82" s="185">
        <f t="shared" si="4"/>
        <v>0</v>
      </c>
      <c r="F82" s="359"/>
      <c r="G82" s="349"/>
      <c r="H82" s="206"/>
      <c r="I82" s="206"/>
      <c r="J82" s="297">
        <f t="shared" si="5"/>
        <v>0</v>
      </c>
      <c r="K82" s="309"/>
      <c r="L82" s="191"/>
      <c r="M82" s="194" t="str">
        <f t="shared" si="6"/>
        <v/>
      </c>
      <c r="N82" s="193" t="str">
        <f t="shared" si="7"/>
        <v/>
      </c>
      <c r="O82" s="195" t="str">
        <f t="shared" si="8"/>
        <v/>
      </c>
      <c r="P82" s="252"/>
      <c r="Q82" s="466"/>
      <c r="R82" s="467"/>
      <c r="S82" s="467"/>
      <c r="T82" s="468"/>
      <c r="U82" s="261"/>
      <c r="V82" s="261"/>
      <c r="W82" s="261"/>
      <c r="X82" s="262"/>
      <c r="Y82" s="261"/>
    </row>
    <row r="83" spans="2:25" hidden="1" outlineLevel="1" x14ac:dyDescent="0.25">
      <c r="B83" s="180"/>
      <c r="C83" s="357"/>
      <c r="D83" s="358"/>
      <c r="E83" s="185">
        <f t="shared" si="4"/>
        <v>0</v>
      </c>
      <c r="F83" s="359"/>
      <c r="G83" s="349"/>
      <c r="H83" s="206"/>
      <c r="I83" s="206"/>
      <c r="J83" s="297">
        <f t="shared" si="5"/>
        <v>0</v>
      </c>
      <c r="K83" s="309"/>
      <c r="L83" s="191"/>
      <c r="M83" s="194" t="str">
        <f t="shared" si="6"/>
        <v/>
      </c>
      <c r="N83" s="193" t="str">
        <f t="shared" si="7"/>
        <v/>
      </c>
      <c r="O83" s="195" t="str">
        <f t="shared" si="8"/>
        <v/>
      </c>
      <c r="P83" s="252"/>
      <c r="Q83" s="466"/>
      <c r="R83" s="467"/>
      <c r="S83" s="467"/>
      <c r="T83" s="468"/>
      <c r="U83" s="261"/>
      <c r="V83" s="261"/>
      <c r="W83" s="261"/>
      <c r="X83" s="262"/>
      <c r="Y83" s="261"/>
    </row>
    <row r="84" spans="2:25" hidden="1" outlineLevel="1" x14ac:dyDescent="0.25">
      <c r="B84" s="180"/>
      <c r="C84" s="357"/>
      <c r="D84" s="358"/>
      <c r="E84" s="185">
        <f t="shared" si="4"/>
        <v>0</v>
      </c>
      <c r="F84" s="359"/>
      <c r="G84" s="349"/>
      <c r="H84" s="206"/>
      <c r="I84" s="206"/>
      <c r="J84" s="297">
        <f t="shared" si="5"/>
        <v>0</v>
      </c>
      <c r="K84" s="309"/>
      <c r="L84" s="191"/>
      <c r="M84" s="194" t="str">
        <f t="shared" si="6"/>
        <v/>
      </c>
      <c r="N84" s="193" t="str">
        <f t="shared" si="7"/>
        <v/>
      </c>
      <c r="O84" s="195" t="str">
        <f t="shared" si="8"/>
        <v/>
      </c>
      <c r="P84" s="252"/>
      <c r="Q84" s="466"/>
      <c r="R84" s="467"/>
      <c r="S84" s="467"/>
      <c r="T84" s="468"/>
      <c r="U84" s="261"/>
      <c r="V84" s="261"/>
      <c r="W84" s="261"/>
      <c r="X84" s="262"/>
      <c r="Y84" s="261"/>
    </row>
    <row r="85" spans="2:25" hidden="1" outlineLevel="1" x14ac:dyDescent="0.25">
      <c r="B85" s="180"/>
      <c r="C85" s="357"/>
      <c r="D85" s="358"/>
      <c r="E85" s="185">
        <f t="shared" si="4"/>
        <v>0</v>
      </c>
      <c r="F85" s="359"/>
      <c r="G85" s="349"/>
      <c r="H85" s="206"/>
      <c r="I85" s="206"/>
      <c r="J85" s="297">
        <f t="shared" si="5"/>
        <v>0</v>
      </c>
      <c r="K85" s="309"/>
      <c r="L85" s="191"/>
      <c r="M85" s="194" t="str">
        <f t="shared" si="6"/>
        <v/>
      </c>
      <c r="N85" s="193" t="str">
        <f t="shared" si="7"/>
        <v/>
      </c>
      <c r="O85" s="195" t="str">
        <f t="shared" si="8"/>
        <v/>
      </c>
      <c r="P85" s="252"/>
      <c r="Q85" s="466"/>
      <c r="R85" s="467"/>
      <c r="S85" s="467"/>
      <c r="T85" s="468"/>
      <c r="U85" s="261"/>
      <c r="V85" s="261"/>
      <c r="W85" s="261"/>
      <c r="X85" s="262"/>
      <c r="Y85" s="261"/>
    </row>
    <row r="86" spans="2:25" hidden="1" outlineLevel="1" x14ac:dyDescent="0.25">
      <c r="B86" s="180"/>
      <c r="C86" s="357"/>
      <c r="D86" s="358"/>
      <c r="E86" s="185">
        <f t="shared" si="4"/>
        <v>0</v>
      </c>
      <c r="F86" s="359"/>
      <c r="G86" s="349"/>
      <c r="H86" s="206"/>
      <c r="I86" s="206"/>
      <c r="J86" s="297">
        <f t="shared" si="5"/>
        <v>0</v>
      </c>
      <c r="K86" s="309"/>
      <c r="L86" s="191"/>
      <c r="M86" s="194" t="str">
        <f t="shared" si="6"/>
        <v/>
      </c>
      <c r="N86" s="193" t="str">
        <f t="shared" si="7"/>
        <v/>
      </c>
      <c r="O86" s="195" t="str">
        <f t="shared" si="8"/>
        <v/>
      </c>
      <c r="P86" s="252"/>
      <c r="Q86" s="466"/>
      <c r="R86" s="467"/>
      <c r="S86" s="467"/>
      <c r="T86" s="468"/>
      <c r="U86" s="261"/>
      <c r="V86" s="261"/>
      <c r="W86" s="261"/>
      <c r="X86" s="262"/>
      <c r="Y86" s="261"/>
    </row>
    <row r="87" spans="2:25" hidden="1" outlineLevel="1" x14ac:dyDescent="0.25">
      <c r="B87" s="180"/>
      <c r="C87" s="357"/>
      <c r="D87" s="358"/>
      <c r="E87" s="185">
        <f t="shared" si="4"/>
        <v>0</v>
      </c>
      <c r="F87" s="359"/>
      <c r="G87" s="349"/>
      <c r="H87" s="206"/>
      <c r="I87" s="206"/>
      <c r="J87" s="297">
        <f t="shared" si="5"/>
        <v>0</v>
      </c>
      <c r="K87" s="309"/>
      <c r="L87" s="191"/>
      <c r="M87" s="194" t="str">
        <f t="shared" si="6"/>
        <v/>
      </c>
      <c r="N87" s="193" t="str">
        <f t="shared" si="7"/>
        <v/>
      </c>
      <c r="O87" s="195" t="str">
        <f t="shared" si="8"/>
        <v/>
      </c>
      <c r="P87" s="252"/>
      <c r="Q87" s="466"/>
      <c r="R87" s="467"/>
      <c r="S87" s="467"/>
      <c r="T87" s="468"/>
      <c r="U87" s="261"/>
      <c r="V87" s="261"/>
      <c r="W87" s="261"/>
      <c r="X87" s="262"/>
      <c r="Y87" s="261"/>
    </row>
    <row r="88" spans="2:25" hidden="1" outlineLevel="1" x14ac:dyDescent="0.25">
      <c r="B88" s="180"/>
      <c r="C88" s="357"/>
      <c r="D88" s="358"/>
      <c r="E88" s="185">
        <f t="shared" si="4"/>
        <v>0</v>
      </c>
      <c r="F88" s="359"/>
      <c r="G88" s="349"/>
      <c r="H88" s="206"/>
      <c r="I88" s="206"/>
      <c r="J88" s="297">
        <f t="shared" si="5"/>
        <v>0</v>
      </c>
      <c r="K88" s="309"/>
      <c r="L88" s="191"/>
      <c r="M88" s="194" t="str">
        <f t="shared" si="6"/>
        <v/>
      </c>
      <c r="N88" s="193" t="str">
        <f t="shared" si="7"/>
        <v/>
      </c>
      <c r="O88" s="195" t="str">
        <f t="shared" si="8"/>
        <v/>
      </c>
      <c r="P88" s="252"/>
      <c r="Q88" s="466"/>
      <c r="R88" s="467"/>
      <c r="S88" s="467"/>
      <c r="T88" s="468"/>
      <c r="U88" s="261"/>
      <c r="V88" s="261"/>
      <c r="W88" s="261"/>
      <c r="X88" s="262"/>
      <c r="Y88" s="261"/>
    </row>
    <row r="89" spans="2:25" hidden="1" outlineLevel="1" x14ac:dyDescent="0.25">
      <c r="B89" s="180"/>
      <c r="C89" s="357"/>
      <c r="D89" s="358"/>
      <c r="E89" s="185">
        <f t="shared" si="4"/>
        <v>0</v>
      </c>
      <c r="F89" s="359"/>
      <c r="G89" s="349"/>
      <c r="H89" s="206"/>
      <c r="I89" s="206"/>
      <c r="J89" s="297">
        <f t="shared" si="5"/>
        <v>0</v>
      </c>
      <c r="K89" s="309"/>
      <c r="L89" s="191"/>
      <c r="M89" s="194" t="str">
        <f t="shared" si="6"/>
        <v/>
      </c>
      <c r="N89" s="193" t="str">
        <f t="shared" si="7"/>
        <v/>
      </c>
      <c r="O89" s="195" t="str">
        <f t="shared" si="8"/>
        <v/>
      </c>
      <c r="P89" s="252"/>
      <c r="Q89" s="466"/>
      <c r="R89" s="467"/>
      <c r="S89" s="467"/>
      <c r="T89" s="468"/>
      <c r="U89" s="261"/>
      <c r="V89" s="261"/>
      <c r="W89" s="261"/>
      <c r="X89" s="262"/>
      <c r="Y89" s="261"/>
    </row>
    <row r="90" spans="2:25" hidden="1" outlineLevel="1" x14ac:dyDescent="0.25">
      <c r="B90" s="180"/>
      <c r="C90" s="357"/>
      <c r="D90" s="358"/>
      <c r="E90" s="185">
        <f t="shared" si="4"/>
        <v>0</v>
      </c>
      <c r="F90" s="359"/>
      <c r="G90" s="349"/>
      <c r="H90" s="206"/>
      <c r="I90" s="206"/>
      <c r="J90" s="297">
        <f t="shared" si="5"/>
        <v>0</v>
      </c>
      <c r="K90" s="309"/>
      <c r="L90" s="191"/>
      <c r="M90" s="194" t="str">
        <f t="shared" si="6"/>
        <v/>
      </c>
      <c r="N90" s="193" t="str">
        <f t="shared" si="7"/>
        <v/>
      </c>
      <c r="O90" s="195" t="str">
        <f t="shared" si="8"/>
        <v/>
      </c>
      <c r="P90" s="252"/>
      <c r="Q90" s="466"/>
      <c r="R90" s="467"/>
      <c r="S90" s="467"/>
      <c r="T90" s="468"/>
      <c r="U90" s="261"/>
      <c r="V90" s="261"/>
      <c r="W90" s="261"/>
      <c r="X90" s="262"/>
      <c r="Y90" s="261"/>
    </row>
    <row r="91" spans="2:25" hidden="1" outlineLevel="1" x14ac:dyDescent="0.25">
      <c r="B91" s="180"/>
      <c r="C91" s="357"/>
      <c r="D91" s="358"/>
      <c r="E91" s="185">
        <f t="shared" si="4"/>
        <v>0</v>
      </c>
      <c r="F91" s="359"/>
      <c r="G91" s="349"/>
      <c r="H91" s="206"/>
      <c r="I91" s="206"/>
      <c r="J91" s="297">
        <f t="shared" si="5"/>
        <v>0</v>
      </c>
      <c r="K91" s="309"/>
      <c r="L91" s="191"/>
      <c r="M91" s="194" t="str">
        <f t="shared" si="6"/>
        <v/>
      </c>
      <c r="N91" s="193" t="str">
        <f t="shared" si="7"/>
        <v/>
      </c>
      <c r="O91" s="195" t="str">
        <f t="shared" si="8"/>
        <v/>
      </c>
      <c r="P91" s="252"/>
      <c r="Q91" s="466"/>
      <c r="R91" s="467"/>
      <c r="S91" s="467"/>
      <c r="T91" s="468"/>
      <c r="U91" s="261"/>
      <c r="V91" s="261"/>
      <c r="W91" s="261"/>
      <c r="X91" s="262"/>
      <c r="Y91" s="261"/>
    </row>
    <row r="92" spans="2:25" hidden="1" outlineLevel="1" x14ac:dyDescent="0.25">
      <c r="B92" s="180"/>
      <c r="C92" s="357"/>
      <c r="D92" s="358"/>
      <c r="E92" s="185">
        <f t="shared" si="4"/>
        <v>0</v>
      </c>
      <c r="F92" s="359"/>
      <c r="G92" s="349"/>
      <c r="H92" s="206"/>
      <c r="I92" s="206"/>
      <c r="J92" s="297">
        <f t="shared" si="5"/>
        <v>0</v>
      </c>
      <c r="K92" s="309"/>
      <c r="L92" s="191"/>
      <c r="M92" s="194" t="str">
        <f t="shared" si="6"/>
        <v/>
      </c>
      <c r="N92" s="193" t="str">
        <f t="shared" si="7"/>
        <v/>
      </c>
      <c r="O92" s="195" t="str">
        <f t="shared" si="8"/>
        <v/>
      </c>
      <c r="P92" s="252"/>
      <c r="Q92" s="466"/>
      <c r="R92" s="467"/>
      <c r="S92" s="467"/>
      <c r="T92" s="468"/>
      <c r="U92" s="261"/>
      <c r="V92" s="261"/>
      <c r="W92" s="261"/>
      <c r="X92" s="262"/>
      <c r="Y92" s="261"/>
    </row>
    <row r="93" spans="2:25" hidden="1" outlineLevel="1" x14ac:dyDescent="0.25">
      <c r="B93" s="180"/>
      <c r="C93" s="357"/>
      <c r="D93" s="358"/>
      <c r="E93" s="185">
        <f t="shared" si="4"/>
        <v>0</v>
      </c>
      <c r="F93" s="359"/>
      <c r="G93" s="349"/>
      <c r="H93" s="206"/>
      <c r="I93" s="206"/>
      <c r="J93" s="297">
        <f t="shared" si="5"/>
        <v>0</v>
      </c>
      <c r="K93" s="309"/>
      <c r="L93" s="191"/>
      <c r="M93" s="194" t="str">
        <f t="shared" si="6"/>
        <v/>
      </c>
      <c r="N93" s="193" t="str">
        <f t="shared" si="7"/>
        <v/>
      </c>
      <c r="O93" s="195" t="str">
        <f t="shared" si="8"/>
        <v/>
      </c>
      <c r="P93" s="252"/>
      <c r="Q93" s="466"/>
      <c r="R93" s="467"/>
      <c r="S93" s="467"/>
      <c r="T93" s="468"/>
      <c r="U93" s="261"/>
      <c r="V93" s="261"/>
      <c r="W93" s="261"/>
      <c r="X93" s="262"/>
      <c r="Y93" s="261"/>
    </row>
    <row r="94" spans="2:25" hidden="1" outlineLevel="1" x14ac:dyDescent="0.25">
      <c r="B94" s="180"/>
      <c r="C94" s="357"/>
      <c r="D94" s="358"/>
      <c r="E94" s="185">
        <f t="shared" si="4"/>
        <v>0</v>
      </c>
      <c r="F94" s="359"/>
      <c r="G94" s="349"/>
      <c r="H94" s="206"/>
      <c r="I94" s="206"/>
      <c r="J94" s="297">
        <f t="shared" si="5"/>
        <v>0</v>
      </c>
      <c r="K94" s="309"/>
      <c r="L94" s="191"/>
      <c r="M94" s="194" t="str">
        <f t="shared" si="6"/>
        <v/>
      </c>
      <c r="N94" s="193" t="str">
        <f t="shared" si="7"/>
        <v/>
      </c>
      <c r="O94" s="195" t="str">
        <f t="shared" si="8"/>
        <v/>
      </c>
      <c r="P94" s="252"/>
      <c r="Q94" s="466"/>
      <c r="R94" s="467"/>
      <c r="S94" s="467"/>
      <c r="T94" s="468"/>
      <c r="U94" s="261"/>
      <c r="V94" s="261"/>
      <c r="W94" s="261"/>
      <c r="X94" s="262"/>
      <c r="Y94" s="261"/>
    </row>
    <row r="95" spans="2:25" hidden="1" outlineLevel="1" x14ac:dyDescent="0.25">
      <c r="B95" s="180"/>
      <c r="C95" s="357"/>
      <c r="D95" s="358"/>
      <c r="E95" s="185">
        <f t="shared" si="4"/>
        <v>0</v>
      </c>
      <c r="F95" s="359"/>
      <c r="G95" s="349"/>
      <c r="H95" s="206"/>
      <c r="I95" s="206"/>
      <c r="J95" s="297">
        <f t="shared" si="5"/>
        <v>0</v>
      </c>
      <c r="K95" s="309"/>
      <c r="L95" s="191"/>
      <c r="M95" s="194" t="str">
        <f t="shared" si="6"/>
        <v/>
      </c>
      <c r="N95" s="193" t="str">
        <f t="shared" si="7"/>
        <v/>
      </c>
      <c r="O95" s="195" t="str">
        <f t="shared" si="8"/>
        <v/>
      </c>
      <c r="P95" s="252"/>
      <c r="Q95" s="466"/>
      <c r="R95" s="467"/>
      <c r="S95" s="467"/>
      <c r="T95" s="468"/>
      <c r="U95" s="261"/>
      <c r="V95" s="261"/>
      <c r="W95" s="261"/>
      <c r="X95" s="262"/>
      <c r="Y95" s="261"/>
    </row>
    <row r="96" spans="2:25" hidden="1" outlineLevel="1" x14ac:dyDescent="0.25">
      <c r="B96" s="180"/>
      <c r="C96" s="357"/>
      <c r="D96" s="358"/>
      <c r="E96" s="185">
        <f t="shared" si="4"/>
        <v>0</v>
      </c>
      <c r="F96" s="359"/>
      <c r="G96" s="349"/>
      <c r="H96" s="206"/>
      <c r="I96" s="206"/>
      <c r="J96" s="297">
        <f t="shared" si="5"/>
        <v>0</v>
      </c>
      <c r="K96" s="309"/>
      <c r="L96" s="191"/>
      <c r="M96" s="194" t="str">
        <f t="shared" si="6"/>
        <v/>
      </c>
      <c r="N96" s="193" t="str">
        <f t="shared" si="7"/>
        <v/>
      </c>
      <c r="O96" s="195" t="str">
        <f t="shared" si="8"/>
        <v/>
      </c>
      <c r="P96" s="252"/>
      <c r="Q96" s="466"/>
      <c r="R96" s="467"/>
      <c r="S96" s="467"/>
      <c r="T96" s="468"/>
      <c r="U96" s="261"/>
      <c r="V96" s="261"/>
      <c r="W96" s="261"/>
      <c r="X96" s="262"/>
      <c r="Y96" s="261"/>
    </row>
    <row r="97" spans="2:25" hidden="1" outlineLevel="1" x14ac:dyDescent="0.25">
      <c r="B97" s="180"/>
      <c r="C97" s="357"/>
      <c r="D97" s="358"/>
      <c r="E97" s="185">
        <f t="shared" si="4"/>
        <v>0</v>
      </c>
      <c r="F97" s="359"/>
      <c r="G97" s="349"/>
      <c r="H97" s="206"/>
      <c r="I97" s="206"/>
      <c r="J97" s="297">
        <f t="shared" si="5"/>
        <v>0</v>
      </c>
      <c r="K97" s="309"/>
      <c r="L97" s="191"/>
      <c r="M97" s="194" t="str">
        <f t="shared" si="6"/>
        <v/>
      </c>
      <c r="N97" s="193" t="str">
        <f t="shared" si="7"/>
        <v/>
      </c>
      <c r="O97" s="195" t="str">
        <f t="shared" si="8"/>
        <v/>
      </c>
      <c r="P97" s="252"/>
      <c r="Q97" s="466"/>
      <c r="R97" s="467"/>
      <c r="S97" s="467"/>
      <c r="T97" s="468"/>
      <c r="U97" s="261"/>
      <c r="V97" s="261"/>
      <c r="W97" s="261"/>
      <c r="X97" s="262"/>
      <c r="Y97" s="261"/>
    </row>
    <row r="98" spans="2:25" hidden="1" outlineLevel="1" x14ac:dyDescent="0.25">
      <c r="B98" s="180"/>
      <c r="C98" s="357"/>
      <c r="D98" s="358"/>
      <c r="E98" s="185">
        <f t="shared" si="4"/>
        <v>0</v>
      </c>
      <c r="F98" s="359"/>
      <c r="G98" s="349"/>
      <c r="H98" s="206"/>
      <c r="I98" s="206"/>
      <c r="J98" s="297">
        <f t="shared" si="5"/>
        <v>0</v>
      </c>
      <c r="K98" s="309"/>
      <c r="L98" s="191"/>
      <c r="M98" s="194" t="str">
        <f t="shared" si="6"/>
        <v/>
      </c>
      <c r="N98" s="193" t="str">
        <f t="shared" si="7"/>
        <v/>
      </c>
      <c r="O98" s="195" t="str">
        <f t="shared" si="8"/>
        <v/>
      </c>
      <c r="P98" s="252"/>
      <c r="Q98" s="466"/>
      <c r="R98" s="467"/>
      <c r="S98" s="467"/>
      <c r="T98" s="468"/>
      <c r="U98" s="261"/>
      <c r="V98" s="261"/>
      <c r="W98" s="261"/>
      <c r="X98" s="262"/>
      <c r="Y98" s="261"/>
    </row>
    <row r="99" spans="2:25" hidden="1" outlineLevel="1" x14ac:dyDescent="0.25">
      <c r="B99" s="180"/>
      <c r="C99" s="357"/>
      <c r="D99" s="358"/>
      <c r="E99" s="185">
        <f t="shared" si="4"/>
        <v>0</v>
      </c>
      <c r="F99" s="359"/>
      <c r="G99" s="349"/>
      <c r="H99" s="206"/>
      <c r="I99" s="206"/>
      <c r="J99" s="297">
        <f t="shared" si="5"/>
        <v>0</v>
      </c>
      <c r="K99" s="309"/>
      <c r="L99" s="191"/>
      <c r="M99" s="194" t="str">
        <f t="shared" si="6"/>
        <v/>
      </c>
      <c r="N99" s="193" t="str">
        <f t="shared" si="7"/>
        <v/>
      </c>
      <c r="O99" s="195" t="str">
        <f t="shared" si="8"/>
        <v/>
      </c>
      <c r="P99" s="252"/>
      <c r="Q99" s="466"/>
      <c r="R99" s="467"/>
      <c r="S99" s="467"/>
      <c r="T99" s="468"/>
      <c r="U99" s="261"/>
      <c r="V99" s="261"/>
      <c r="W99" s="261"/>
      <c r="X99" s="262"/>
      <c r="Y99" s="261"/>
    </row>
    <row r="100" spans="2:25" hidden="1" outlineLevel="1" x14ac:dyDescent="0.25">
      <c r="B100" s="180"/>
      <c r="C100" s="357"/>
      <c r="D100" s="358"/>
      <c r="E100" s="185">
        <f t="shared" si="4"/>
        <v>0</v>
      </c>
      <c r="F100" s="359"/>
      <c r="G100" s="349"/>
      <c r="H100" s="206"/>
      <c r="I100" s="206"/>
      <c r="J100" s="297">
        <f t="shared" si="5"/>
        <v>0</v>
      </c>
      <c r="K100" s="309"/>
      <c r="L100" s="191"/>
      <c r="M100" s="194" t="str">
        <f t="shared" si="6"/>
        <v/>
      </c>
      <c r="N100" s="193" t="str">
        <f t="shared" si="7"/>
        <v/>
      </c>
      <c r="O100" s="195" t="str">
        <f t="shared" si="8"/>
        <v/>
      </c>
      <c r="P100" s="252"/>
      <c r="Q100" s="466"/>
      <c r="R100" s="467"/>
      <c r="S100" s="467"/>
      <c r="T100" s="468"/>
      <c r="U100" s="261"/>
      <c r="V100" s="261"/>
      <c r="W100" s="261"/>
      <c r="X100" s="262"/>
      <c r="Y100" s="261"/>
    </row>
    <row r="101" spans="2:25" hidden="1" outlineLevel="1" x14ac:dyDescent="0.25">
      <c r="B101" s="180"/>
      <c r="C101" s="357"/>
      <c r="D101" s="358"/>
      <c r="E101" s="185">
        <f t="shared" si="4"/>
        <v>0</v>
      </c>
      <c r="F101" s="359"/>
      <c r="G101" s="349"/>
      <c r="H101" s="206"/>
      <c r="I101" s="206"/>
      <c r="J101" s="297">
        <f t="shared" si="5"/>
        <v>0</v>
      </c>
      <c r="K101" s="309"/>
      <c r="L101" s="191"/>
      <c r="M101" s="194" t="str">
        <f t="shared" si="6"/>
        <v/>
      </c>
      <c r="N101" s="193" t="str">
        <f t="shared" si="7"/>
        <v/>
      </c>
      <c r="O101" s="195" t="str">
        <f t="shared" si="8"/>
        <v/>
      </c>
      <c r="P101" s="252"/>
      <c r="Q101" s="466"/>
      <c r="R101" s="467"/>
      <c r="S101" s="467"/>
      <c r="T101" s="468"/>
      <c r="U101" s="261"/>
      <c r="V101" s="261"/>
      <c r="W101" s="261"/>
      <c r="X101" s="262"/>
      <c r="Y101" s="261"/>
    </row>
    <row r="102" spans="2:25" hidden="1" outlineLevel="1" x14ac:dyDescent="0.25">
      <c r="B102" s="180"/>
      <c r="C102" s="357"/>
      <c r="D102" s="358"/>
      <c r="E102" s="185">
        <f t="shared" si="4"/>
        <v>0</v>
      </c>
      <c r="F102" s="359"/>
      <c r="G102" s="349"/>
      <c r="H102" s="206"/>
      <c r="I102" s="206"/>
      <c r="J102" s="297">
        <f t="shared" si="5"/>
        <v>0</v>
      </c>
      <c r="K102" s="309"/>
      <c r="L102" s="191"/>
      <c r="M102" s="194" t="str">
        <f t="shared" si="6"/>
        <v/>
      </c>
      <c r="N102" s="193" t="str">
        <f t="shared" si="7"/>
        <v/>
      </c>
      <c r="O102" s="195" t="str">
        <f t="shared" si="8"/>
        <v/>
      </c>
      <c r="P102" s="252"/>
      <c r="Q102" s="466"/>
      <c r="R102" s="467"/>
      <c r="S102" s="467"/>
      <c r="T102" s="468"/>
      <c r="U102" s="261"/>
      <c r="V102" s="261"/>
      <c r="W102" s="261"/>
      <c r="X102" s="262"/>
      <c r="Y102" s="261"/>
    </row>
    <row r="103" spans="2:25" hidden="1" outlineLevel="1" x14ac:dyDescent="0.25">
      <c r="B103" s="180"/>
      <c r="C103" s="357"/>
      <c r="D103" s="358"/>
      <c r="E103" s="185">
        <f t="shared" si="4"/>
        <v>0</v>
      </c>
      <c r="F103" s="359"/>
      <c r="G103" s="349"/>
      <c r="H103" s="206"/>
      <c r="I103" s="206"/>
      <c r="J103" s="297">
        <f t="shared" si="5"/>
        <v>0</v>
      </c>
      <c r="K103" s="309"/>
      <c r="L103" s="191"/>
      <c r="M103" s="194" t="str">
        <f t="shared" si="6"/>
        <v/>
      </c>
      <c r="N103" s="193" t="str">
        <f t="shared" si="7"/>
        <v/>
      </c>
      <c r="O103" s="195" t="str">
        <f t="shared" si="8"/>
        <v/>
      </c>
      <c r="P103" s="252"/>
      <c r="Q103" s="466"/>
      <c r="R103" s="467"/>
      <c r="S103" s="467"/>
      <c r="T103" s="468"/>
      <c r="U103" s="261"/>
      <c r="V103" s="261"/>
      <c r="W103" s="261"/>
      <c r="X103" s="262"/>
      <c r="Y103" s="261"/>
    </row>
    <row r="104" spans="2:25" hidden="1" outlineLevel="1" x14ac:dyDescent="0.25">
      <c r="B104" s="180"/>
      <c r="C104" s="357"/>
      <c r="D104" s="358"/>
      <c r="E104" s="185">
        <f t="shared" si="4"/>
        <v>0</v>
      </c>
      <c r="F104" s="359"/>
      <c r="G104" s="349"/>
      <c r="H104" s="206"/>
      <c r="I104" s="206"/>
      <c r="J104" s="297">
        <f t="shared" si="5"/>
        <v>0</v>
      </c>
      <c r="K104" s="309"/>
      <c r="L104" s="191"/>
      <c r="M104" s="194" t="str">
        <f t="shared" si="6"/>
        <v/>
      </c>
      <c r="N104" s="193" t="str">
        <f t="shared" si="7"/>
        <v/>
      </c>
      <c r="O104" s="195" t="str">
        <f t="shared" si="8"/>
        <v/>
      </c>
      <c r="P104" s="252"/>
      <c r="Q104" s="466"/>
      <c r="R104" s="467"/>
      <c r="S104" s="467"/>
      <c r="T104" s="468"/>
      <c r="U104" s="261"/>
      <c r="V104" s="261"/>
      <c r="W104" s="261"/>
      <c r="X104" s="262"/>
      <c r="Y104" s="261"/>
    </row>
    <row r="105" spans="2:25" hidden="1" outlineLevel="1" x14ac:dyDescent="0.25">
      <c r="B105" s="180"/>
      <c r="C105" s="357"/>
      <c r="D105" s="358"/>
      <c r="E105" s="185">
        <f t="shared" si="4"/>
        <v>0</v>
      </c>
      <c r="F105" s="359"/>
      <c r="G105" s="349"/>
      <c r="H105" s="206"/>
      <c r="I105" s="206"/>
      <c r="J105" s="297">
        <f t="shared" si="5"/>
        <v>0</v>
      </c>
      <c r="K105" s="309"/>
      <c r="L105" s="191"/>
      <c r="M105" s="194" t="str">
        <f t="shared" si="6"/>
        <v/>
      </c>
      <c r="N105" s="193" t="str">
        <f t="shared" si="7"/>
        <v/>
      </c>
      <c r="O105" s="195" t="str">
        <f t="shared" si="8"/>
        <v/>
      </c>
      <c r="P105" s="252"/>
      <c r="Q105" s="466"/>
      <c r="R105" s="467"/>
      <c r="S105" s="467"/>
      <c r="T105" s="468"/>
      <c r="U105" s="261"/>
      <c r="V105" s="261"/>
      <c r="W105" s="261"/>
      <c r="X105" s="262"/>
      <c r="Y105" s="261"/>
    </row>
    <row r="106" spans="2:25" hidden="1" outlineLevel="1" x14ac:dyDescent="0.25">
      <c r="B106" s="180"/>
      <c r="C106" s="357"/>
      <c r="D106" s="358"/>
      <c r="E106" s="185">
        <f t="shared" si="4"/>
        <v>0</v>
      </c>
      <c r="F106" s="359"/>
      <c r="G106" s="349"/>
      <c r="H106" s="206"/>
      <c r="I106" s="206"/>
      <c r="J106" s="297">
        <f t="shared" si="5"/>
        <v>0</v>
      </c>
      <c r="K106" s="309"/>
      <c r="L106" s="191"/>
      <c r="M106" s="194" t="str">
        <f t="shared" si="6"/>
        <v/>
      </c>
      <c r="N106" s="193" t="str">
        <f t="shared" si="7"/>
        <v/>
      </c>
      <c r="O106" s="195" t="str">
        <f t="shared" si="8"/>
        <v/>
      </c>
      <c r="P106" s="252"/>
      <c r="Q106" s="466"/>
      <c r="R106" s="467"/>
      <c r="S106" s="467"/>
      <c r="T106" s="468"/>
      <c r="U106" s="261"/>
      <c r="V106" s="261"/>
      <c r="W106" s="261"/>
      <c r="X106" s="262"/>
      <c r="Y106" s="261"/>
    </row>
    <row r="107" spans="2:25" hidden="1" outlineLevel="1" x14ac:dyDescent="0.25">
      <c r="B107" s="180"/>
      <c r="C107" s="357"/>
      <c r="D107" s="358"/>
      <c r="E107" s="185">
        <f t="shared" si="4"/>
        <v>0</v>
      </c>
      <c r="F107" s="359"/>
      <c r="G107" s="349"/>
      <c r="H107" s="206"/>
      <c r="I107" s="206"/>
      <c r="J107" s="297">
        <f t="shared" si="5"/>
        <v>0</v>
      </c>
      <c r="K107" s="309"/>
      <c r="L107" s="191"/>
      <c r="M107" s="194" t="str">
        <f t="shared" si="6"/>
        <v/>
      </c>
      <c r="N107" s="193" t="str">
        <f t="shared" si="7"/>
        <v/>
      </c>
      <c r="O107" s="195" t="str">
        <f t="shared" si="8"/>
        <v/>
      </c>
      <c r="P107" s="252"/>
      <c r="Q107" s="466"/>
      <c r="R107" s="467"/>
      <c r="S107" s="467"/>
      <c r="T107" s="468"/>
      <c r="U107" s="261"/>
      <c r="V107" s="261"/>
      <c r="W107" s="261"/>
      <c r="X107" s="262"/>
      <c r="Y107" s="261"/>
    </row>
    <row r="108" spans="2:25" hidden="1" outlineLevel="1" x14ac:dyDescent="0.25">
      <c r="B108" s="180"/>
      <c r="C108" s="357"/>
      <c r="D108" s="358"/>
      <c r="E108" s="185">
        <f t="shared" si="4"/>
        <v>0</v>
      </c>
      <c r="F108" s="359"/>
      <c r="G108" s="349"/>
      <c r="H108" s="206"/>
      <c r="I108" s="206"/>
      <c r="J108" s="297">
        <f t="shared" si="5"/>
        <v>0</v>
      </c>
      <c r="K108" s="309"/>
      <c r="L108" s="191"/>
      <c r="M108" s="194" t="str">
        <f t="shared" si="6"/>
        <v/>
      </c>
      <c r="N108" s="193" t="str">
        <f t="shared" si="7"/>
        <v/>
      </c>
      <c r="O108" s="195" t="str">
        <f t="shared" si="8"/>
        <v/>
      </c>
      <c r="P108" s="252"/>
      <c r="Q108" s="466"/>
      <c r="R108" s="467"/>
      <c r="S108" s="467"/>
      <c r="T108" s="468"/>
      <c r="U108" s="261"/>
      <c r="V108" s="261"/>
      <c r="W108" s="261"/>
      <c r="X108" s="262"/>
      <c r="Y108" s="261"/>
    </row>
    <row r="109" spans="2:25" hidden="1" outlineLevel="1" x14ac:dyDescent="0.25">
      <c r="B109" s="180"/>
      <c r="C109" s="357"/>
      <c r="D109" s="358"/>
      <c r="E109" s="185">
        <f t="shared" si="4"/>
        <v>0</v>
      </c>
      <c r="F109" s="359"/>
      <c r="G109" s="349"/>
      <c r="H109" s="206"/>
      <c r="I109" s="206"/>
      <c r="J109" s="297">
        <f t="shared" si="5"/>
        <v>0</v>
      </c>
      <c r="K109" s="309"/>
      <c r="L109" s="191"/>
      <c r="M109" s="194" t="str">
        <f t="shared" si="6"/>
        <v/>
      </c>
      <c r="N109" s="193" t="str">
        <f t="shared" si="7"/>
        <v/>
      </c>
      <c r="O109" s="195" t="str">
        <f t="shared" si="8"/>
        <v/>
      </c>
      <c r="P109" s="252"/>
      <c r="Q109" s="466"/>
      <c r="R109" s="467"/>
      <c r="S109" s="467"/>
      <c r="T109" s="468"/>
      <c r="U109" s="261"/>
      <c r="V109" s="261"/>
      <c r="W109" s="261"/>
      <c r="X109" s="262"/>
      <c r="Y109" s="261"/>
    </row>
    <row r="110" spans="2:25" hidden="1" outlineLevel="1" x14ac:dyDescent="0.25">
      <c r="B110" s="180"/>
      <c r="C110" s="357"/>
      <c r="D110" s="358"/>
      <c r="E110" s="185">
        <f t="shared" si="4"/>
        <v>0</v>
      </c>
      <c r="F110" s="359"/>
      <c r="G110" s="349"/>
      <c r="H110" s="206"/>
      <c r="I110" s="206"/>
      <c r="J110" s="297">
        <f t="shared" si="5"/>
        <v>0</v>
      </c>
      <c r="K110" s="309"/>
      <c r="L110" s="191"/>
      <c r="M110" s="194" t="str">
        <f t="shared" si="6"/>
        <v/>
      </c>
      <c r="N110" s="193" t="str">
        <f t="shared" si="7"/>
        <v/>
      </c>
      <c r="O110" s="195" t="str">
        <f t="shared" si="8"/>
        <v/>
      </c>
      <c r="P110" s="252"/>
      <c r="Q110" s="466"/>
      <c r="R110" s="467"/>
      <c r="S110" s="467"/>
      <c r="T110" s="468"/>
      <c r="U110" s="261"/>
      <c r="V110" s="261"/>
      <c r="W110" s="261"/>
      <c r="X110" s="262"/>
      <c r="Y110" s="261"/>
    </row>
    <row r="111" spans="2:25" hidden="1" outlineLevel="1" x14ac:dyDescent="0.25">
      <c r="B111" s="180"/>
      <c r="C111" s="357"/>
      <c r="D111" s="358"/>
      <c r="E111" s="185">
        <f t="shared" si="4"/>
        <v>0</v>
      </c>
      <c r="F111" s="359"/>
      <c r="G111" s="349"/>
      <c r="H111" s="206"/>
      <c r="I111" s="206"/>
      <c r="J111" s="297">
        <f t="shared" si="5"/>
        <v>0</v>
      </c>
      <c r="K111" s="309"/>
      <c r="L111" s="191"/>
      <c r="M111" s="194" t="str">
        <f t="shared" si="6"/>
        <v/>
      </c>
      <c r="N111" s="193" t="str">
        <f t="shared" si="7"/>
        <v/>
      </c>
      <c r="O111" s="195" t="str">
        <f t="shared" si="8"/>
        <v/>
      </c>
      <c r="P111" s="252"/>
      <c r="Q111" s="466"/>
      <c r="R111" s="467"/>
      <c r="S111" s="467"/>
      <c r="T111" s="468"/>
      <c r="U111" s="261"/>
      <c r="V111" s="261"/>
      <c r="W111" s="261"/>
      <c r="X111" s="262"/>
      <c r="Y111" s="261"/>
    </row>
    <row r="112" spans="2:25" hidden="1" outlineLevel="1" x14ac:dyDescent="0.25">
      <c r="B112" s="180"/>
      <c r="C112" s="357"/>
      <c r="D112" s="358"/>
      <c r="E112" s="185">
        <f t="shared" si="4"/>
        <v>0</v>
      </c>
      <c r="F112" s="359"/>
      <c r="G112" s="349"/>
      <c r="H112" s="206"/>
      <c r="I112" s="206"/>
      <c r="J112" s="297">
        <f t="shared" si="5"/>
        <v>0</v>
      </c>
      <c r="K112" s="309"/>
      <c r="L112" s="191"/>
      <c r="M112" s="194" t="str">
        <f t="shared" si="6"/>
        <v/>
      </c>
      <c r="N112" s="193" t="str">
        <f t="shared" si="7"/>
        <v/>
      </c>
      <c r="O112" s="195" t="str">
        <f t="shared" si="8"/>
        <v/>
      </c>
      <c r="P112" s="252"/>
      <c r="Q112" s="466"/>
      <c r="R112" s="467"/>
      <c r="S112" s="467"/>
      <c r="T112" s="468"/>
      <c r="U112" s="261"/>
      <c r="V112" s="261"/>
      <c r="W112" s="261"/>
      <c r="X112" s="262"/>
      <c r="Y112" s="261"/>
    </row>
    <row r="113" spans="2:25" hidden="1" outlineLevel="1" x14ac:dyDescent="0.25">
      <c r="B113" s="180"/>
      <c r="C113" s="357"/>
      <c r="D113" s="358"/>
      <c r="E113" s="185">
        <f t="shared" si="4"/>
        <v>0</v>
      </c>
      <c r="F113" s="359"/>
      <c r="G113" s="349"/>
      <c r="H113" s="206"/>
      <c r="I113" s="206"/>
      <c r="J113" s="297">
        <f t="shared" si="5"/>
        <v>0</v>
      </c>
      <c r="K113" s="309"/>
      <c r="L113" s="191"/>
      <c r="M113" s="194" t="str">
        <f t="shared" si="6"/>
        <v/>
      </c>
      <c r="N113" s="193" t="str">
        <f t="shared" si="7"/>
        <v/>
      </c>
      <c r="O113" s="195" t="str">
        <f t="shared" si="8"/>
        <v/>
      </c>
      <c r="P113" s="252"/>
      <c r="Q113" s="466"/>
      <c r="R113" s="467"/>
      <c r="S113" s="467"/>
      <c r="T113" s="468"/>
      <c r="U113" s="261"/>
      <c r="V113" s="261"/>
      <c r="W113" s="261"/>
      <c r="X113" s="262"/>
      <c r="Y113" s="261"/>
    </row>
    <row r="114" spans="2:25" hidden="1" outlineLevel="1" x14ac:dyDescent="0.25">
      <c r="B114" s="180"/>
      <c r="C114" s="357"/>
      <c r="D114" s="358"/>
      <c r="E114" s="185">
        <f t="shared" si="4"/>
        <v>0</v>
      </c>
      <c r="F114" s="359"/>
      <c r="G114" s="349"/>
      <c r="H114" s="206"/>
      <c r="I114" s="206"/>
      <c r="J114" s="297">
        <f t="shared" si="5"/>
        <v>0</v>
      </c>
      <c r="K114" s="309"/>
      <c r="L114" s="191"/>
      <c r="M114" s="194" t="str">
        <f t="shared" si="6"/>
        <v/>
      </c>
      <c r="N114" s="193" t="str">
        <f t="shared" si="7"/>
        <v/>
      </c>
      <c r="O114" s="195" t="str">
        <f t="shared" si="8"/>
        <v/>
      </c>
      <c r="P114" s="252"/>
      <c r="Q114" s="466"/>
      <c r="R114" s="467"/>
      <c r="S114" s="467"/>
      <c r="T114" s="468"/>
      <c r="U114" s="261"/>
      <c r="V114" s="261"/>
      <c r="W114" s="261"/>
      <c r="X114" s="262"/>
      <c r="Y114" s="261"/>
    </row>
    <row r="115" spans="2:25" hidden="1" outlineLevel="1" x14ac:dyDescent="0.25">
      <c r="B115" s="180"/>
      <c r="C115" s="357"/>
      <c r="D115" s="358"/>
      <c r="E115" s="185">
        <f t="shared" si="4"/>
        <v>0</v>
      </c>
      <c r="F115" s="359"/>
      <c r="G115" s="349"/>
      <c r="H115" s="206"/>
      <c r="I115" s="206"/>
      <c r="J115" s="297">
        <f t="shared" si="5"/>
        <v>0</v>
      </c>
      <c r="K115" s="309"/>
      <c r="L115" s="191"/>
      <c r="M115" s="194" t="str">
        <f t="shared" si="6"/>
        <v/>
      </c>
      <c r="N115" s="193" t="str">
        <f t="shared" si="7"/>
        <v/>
      </c>
      <c r="O115" s="195" t="str">
        <f t="shared" si="8"/>
        <v/>
      </c>
      <c r="P115" s="252"/>
      <c r="Q115" s="466"/>
      <c r="R115" s="467"/>
      <c r="S115" s="467"/>
      <c r="T115" s="468"/>
      <c r="U115" s="261"/>
      <c r="V115" s="261"/>
      <c r="W115" s="261"/>
      <c r="X115" s="262"/>
      <c r="Y115" s="261"/>
    </row>
    <row r="116" spans="2:25" hidden="1" outlineLevel="1" x14ac:dyDescent="0.25">
      <c r="B116" s="180"/>
      <c r="C116" s="357"/>
      <c r="D116" s="358"/>
      <c r="E116" s="185">
        <f t="shared" si="4"/>
        <v>0</v>
      </c>
      <c r="F116" s="359"/>
      <c r="G116" s="349"/>
      <c r="H116" s="206"/>
      <c r="I116" s="206"/>
      <c r="J116" s="297">
        <f t="shared" si="5"/>
        <v>0</v>
      </c>
      <c r="K116" s="309"/>
      <c r="L116" s="191"/>
      <c r="M116" s="194" t="str">
        <f t="shared" si="6"/>
        <v/>
      </c>
      <c r="N116" s="193" t="str">
        <f t="shared" si="7"/>
        <v/>
      </c>
      <c r="O116" s="195" t="str">
        <f t="shared" si="8"/>
        <v/>
      </c>
      <c r="P116" s="252"/>
      <c r="Q116" s="466"/>
      <c r="R116" s="467"/>
      <c r="S116" s="467"/>
      <c r="T116" s="468"/>
      <c r="U116" s="261"/>
      <c r="V116" s="261"/>
      <c r="W116" s="261"/>
      <c r="X116" s="262"/>
      <c r="Y116" s="261"/>
    </row>
    <row r="117" spans="2:25" hidden="1" outlineLevel="1" x14ac:dyDescent="0.25">
      <c r="B117" s="180"/>
      <c r="C117" s="357"/>
      <c r="D117" s="358"/>
      <c r="E117" s="185">
        <f t="shared" ref="E117:E180" si="9">C117+D117</f>
        <v>0</v>
      </c>
      <c r="F117" s="359"/>
      <c r="G117" s="349"/>
      <c r="H117" s="206"/>
      <c r="I117" s="206"/>
      <c r="J117" s="297">
        <f t="shared" ref="J117:J180" si="10">H117+I117</f>
        <v>0</v>
      </c>
      <c r="K117" s="309"/>
      <c r="L117" s="191"/>
      <c r="M117" s="194" t="str">
        <f t="shared" ref="M117:M180" si="11">IF(AND(G117&gt;0,OR(C117&gt;0,F117&gt;0,H117&gt;0)),(G117-F117)/G117,"")</f>
        <v/>
      </c>
      <c r="N117" s="193" t="str">
        <f t="shared" ref="N117:N180" si="12">IF(G117&gt;0,(IF(C117&gt;0,C117,H117))/G117,"")</f>
        <v/>
      </c>
      <c r="O117" s="195" t="str">
        <f t="shared" ref="O117:O180" si="13">IF(M117=100%,G117-(IF(C117&gt;0,C117,H117)),"")</f>
        <v/>
      </c>
      <c r="P117" s="252"/>
      <c r="Q117" s="466"/>
      <c r="R117" s="467"/>
      <c r="S117" s="467"/>
      <c r="T117" s="468"/>
      <c r="U117" s="261"/>
      <c r="V117" s="261"/>
      <c r="W117" s="261"/>
      <c r="X117" s="262"/>
      <c r="Y117" s="261"/>
    </row>
    <row r="118" spans="2:25" hidden="1" outlineLevel="1" x14ac:dyDescent="0.25">
      <c r="B118" s="180"/>
      <c r="C118" s="357"/>
      <c r="D118" s="358"/>
      <c r="E118" s="185">
        <f t="shared" si="9"/>
        <v>0</v>
      </c>
      <c r="F118" s="359"/>
      <c r="G118" s="349"/>
      <c r="H118" s="206"/>
      <c r="I118" s="206"/>
      <c r="J118" s="297">
        <f t="shared" si="10"/>
        <v>0</v>
      </c>
      <c r="K118" s="309"/>
      <c r="L118" s="191"/>
      <c r="M118" s="194" t="str">
        <f t="shared" si="11"/>
        <v/>
      </c>
      <c r="N118" s="193" t="str">
        <f t="shared" si="12"/>
        <v/>
      </c>
      <c r="O118" s="195" t="str">
        <f t="shared" si="13"/>
        <v/>
      </c>
      <c r="P118" s="252"/>
      <c r="Q118" s="466"/>
      <c r="R118" s="467"/>
      <c r="S118" s="467"/>
      <c r="T118" s="468"/>
      <c r="U118" s="261"/>
      <c r="V118" s="261"/>
      <c r="W118" s="261"/>
      <c r="X118" s="262"/>
      <c r="Y118" s="261"/>
    </row>
    <row r="119" spans="2:25" hidden="1" outlineLevel="1" x14ac:dyDescent="0.25">
      <c r="B119" s="180"/>
      <c r="C119" s="357"/>
      <c r="D119" s="358"/>
      <c r="E119" s="185">
        <f t="shared" si="9"/>
        <v>0</v>
      </c>
      <c r="F119" s="359"/>
      <c r="G119" s="349"/>
      <c r="H119" s="206"/>
      <c r="I119" s="206"/>
      <c r="J119" s="297">
        <f t="shared" si="10"/>
        <v>0</v>
      </c>
      <c r="K119" s="309"/>
      <c r="L119" s="191"/>
      <c r="M119" s="194" t="str">
        <f t="shared" si="11"/>
        <v/>
      </c>
      <c r="N119" s="193" t="str">
        <f t="shared" si="12"/>
        <v/>
      </c>
      <c r="O119" s="195" t="str">
        <f t="shared" si="13"/>
        <v/>
      </c>
      <c r="P119" s="252"/>
      <c r="Q119" s="466"/>
      <c r="R119" s="467"/>
      <c r="S119" s="467"/>
      <c r="T119" s="468"/>
      <c r="U119" s="261"/>
      <c r="V119" s="261"/>
      <c r="W119" s="261"/>
      <c r="X119" s="262"/>
      <c r="Y119" s="261"/>
    </row>
    <row r="120" spans="2:25" hidden="1" outlineLevel="1" x14ac:dyDescent="0.25">
      <c r="B120" s="180"/>
      <c r="C120" s="357"/>
      <c r="D120" s="358"/>
      <c r="E120" s="185">
        <f t="shared" si="9"/>
        <v>0</v>
      </c>
      <c r="F120" s="359"/>
      <c r="G120" s="349"/>
      <c r="H120" s="206"/>
      <c r="I120" s="206"/>
      <c r="J120" s="297">
        <f t="shared" si="10"/>
        <v>0</v>
      </c>
      <c r="K120" s="309"/>
      <c r="L120" s="191"/>
      <c r="M120" s="194" t="str">
        <f t="shared" si="11"/>
        <v/>
      </c>
      <c r="N120" s="193" t="str">
        <f t="shared" si="12"/>
        <v/>
      </c>
      <c r="O120" s="195" t="str">
        <f t="shared" si="13"/>
        <v/>
      </c>
      <c r="P120" s="252"/>
      <c r="Q120" s="466"/>
      <c r="R120" s="467"/>
      <c r="S120" s="467"/>
      <c r="T120" s="468"/>
      <c r="U120" s="261"/>
      <c r="V120" s="261"/>
      <c r="W120" s="261"/>
      <c r="X120" s="262"/>
      <c r="Y120" s="261"/>
    </row>
    <row r="121" spans="2:25" hidden="1" outlineLevel="1" x14ac:dyDescent="0.25">
      <c r="B121" s="180"/>
      <c r="C121" s="357"/>
      <c r="D121" s="358"/>
      <c r="E121" s="185">
        <f t="shared" si="9"/>
        <v>0</v>
      </c>
      <c r="F121" s="359"/>
      <c r="G121" s="349"/>
      <c r="H121" s="206"/>
      <c r="I121" s="206"/>
      <c r="J121" s="297">
        <f t="shared" si="10"/>
        <v>0</v>
      </c>
      <c r="K121" s="309"/>
      <c r="L121" s="191"/>
      <c r="M121" s="194" t="str">
        <f t="shared" si="11"/>
        <v/>
      </c>
      <c r="N121" s="193" t="str">
        <f t="shared" si="12"/>
        <v/>
      </c>
      <c r="O121" s="195" t="str">
        <f t="shared" si="13"/>
        <v/>
      </c>
      <c r="P121" s="252"/>
      <c r="Q121" s="466"/>
      <c r="R121" s="467"/>
      <c r="S121" s="467"/>
      <c r="T121" s="468"/>
      <c r="U121" s="261"/>
      <c r="V121" s="261"/>
      <c r="W121" s="261"/>
      <c r="X121" s="262"/>
      <c r="Y121" s="261"/>
    </row>
    <row r="122" spans="2:25" hidden="1" outlineLevel="1" x14ac:dyDescent="0.25">
      <c r="B122" s="180"/>
      <c r="C122" s="357"/>
      <c r="D122" s="358"/>
      <c r="E122" s="185">
        <f t="shared" si="9"/>
        <v>0</v>
      </c>
      <c r="F122" s="359"/>
      <c r="G122" s="349"/>
      <c r="H122" s="206"/>
      <c r="I122" s="206"/>
      <c r="J122" s="297">
        <f t="shared" si="10"/>
        <v>0</v>
      </c>
      <c r="K122" s="309"/>
      <c r="L122" s="191"/>
      <c r="M122" s="194" t="str">
        <f t="shared" si="11"/>
        <v/>
      </c>
      <c r="N122" s="193" t="str">
        <f t="shared" si="12"/>
        <v/>
      </c>
      <c r="O122" s="195" t="str">
        <f t="shared" si="13"/>
        <v/>
      </c>
      <c r="P122" s="252"/>
      <c r="Q122" s="466"/>
      <c r="R122" s="467"/>
      <c r="S122" s="467"/>
      <c r="T122" s="468"/>
      <c r="U122" s="261"/>
      <c r="V122" s="261"/>
      <c r="W122" s="261"/>
      <c r="X122" s="262"/>
      <c r="Y122" s="261"/>
    </row>
    <row r="123" spans="2:25" hidden="1" outlineLevel="1" x14ac:dyDescent="0.25">
      <c r="B123" s="180"/>
      <c r="C123" s="357"/>
      <c r="D123" s="358"/>
      <c r="E123" s="185">
        <f t="shared" si="9"/>
        <v>0</v>
      </c>
      <c r="F123" s="359"/>
      <c r="G123" s="349"/>
      <c r="H123" s="206"/>
      <c r="I123" s="206"/>
      <c r="J123" s="297">
        <f t="shared" si="10"/>
        <v>0</v>
      </c>
      <c r="K123" s="309"/>
      <c r="L123" s="191"/>
      <c r="M123" s="194" t="str">
        <f t="shared" si="11"/>
        <v/>
      </c>
      <c r="N123" s="193" t="str">
        <f t="shared" si="12"/>
        <v/>
      </c>
      <c r="O123" s="195" t="str">
        <f t="shared" si="13"/>
        <v/>
      </c>
      <c r="P123" s="252"/>
      <c r="Q123" s="466"/>
      <c r="R123" s="467"/>
      <c r="S123" s="467"/>
      <c r="T123" s="468"/>
      <c r="U123" s="261"/>
      <c r="V123" s="261"/>
      <c r="W123" s="261"/>
      <c r="X123" s="262"/>
      <c r="Y123" s="261"/>
    </row>
    <row r="124" spans="2:25" hidden="1" outlineLevel="1" x14ac:dyDescent="0.25">
      <c r="B124" s="180"/>
      <c r="C124" s="357"/>
      <c r="D124" s="358"/>
      <c r="E124" s="185">
        <f t="shared" si="9"/>
        <v>0</v>
      </c>
      <c r="F124" s="359"/>
      <c r="G124" s="349"/>
      <c r="H124" s="206"/>
      <c r="I124" s="206"/>
      <c r="J124" s="297">
        <f t="shared" si="10"/>
        <v>0</v>
      </c>
      <c r="K124" s="309"/>
      <c r="L124" s="191"/>
      <c r="M124" s="194" t="str">
        <f t="shared" si="11"/>
        <v/>
      </c>
      <c r="N124" s="193" t="str">
        <f t="shared" si="12"/>
        <v/>
      </c>
      <c r="O124" s="195" t="str">
        <f t="shared" si="13"/>
        <v/>
      </c>
      <c r="P124" s="252"/>
      <c r="Q124" s="466"/>
      <c r="R124" s="467"/>
      <c r="S124" s="467"/>
      <c r="T124" s="468"/>
      <c r="U124" s="261"/>
      <c r="V124" s="261"/>
      <c r="W124" s="261"/>
      <c r="X124" s="262"/>
      <c r="Y124" s="261"/>
    </row>
    <row r="125" spans="2:25" hidden="1" outlineLevel="1" x14ac:dyDescent="0.25">
      <c r="B125" s="180"/>
      <c r="C125" s="357"/>
      <c r="D125" s="358"/>
      <c r="E125" s="185">
        <f t="shared" si="9"/>
        <v>0</v>
      </c>
      <c r="F125" s="359"/>
      <c r="G125" s="349"/>
      <c r="H125" s="206"/>
      <c r="I125" s="206"/>
      <c r="J125" s="297">
        <f t="shared" si="10"/>
        <v>0</v>
      </c>
      <c r="K125" s="309"/>
      <c r="L125" s="191"/>
      <c r="M125" s="194" t="str">
        <f t="shared" si="11"/>
        <v/>
      </c>
      <c r="N125" s="193" t="str">
        <f t="shared" si="12"/>
        <v/>
      </c>
      <c r="O125" s="195" t="str">
        <f t="shared" si="13"/>
        <v/>
      </c>
      <c r="P125" s="252"/>
      <c r="Q125" s="466"/>
      <c r="R125" s="467"/>
      <c r="S125" s="467"/>
      <c r="T125" s="468"/>
      <c r="U125" s="261"/>
      <c r="V125" s="261"/>
      <c r="W125" s="261"/>
      <c r="X125" s="262"/>
      <c r="Y125" s="261"/>
    </row>
    <row r="126" spans="2:25" hidden="1" outlineLevel="1" x14ac:dyDescent="0.25">
      <c r="B126" s="180"/>
      <c r="C126" s="357"/>
      <c r="D126" s="358"/>
      <c r="E126" s="185">
        <f t="shared" si="9"/>
        <v>0</v>
      </c>
      <c r="F126" s="359"/>
      <c r="G126" s="349"/>
      <c r="H126" s="206"/>
      <c r="I126" s="206"/>
      <c r="J126" s="297">
        <f t="shared" si="10"/>
        <v>0</v>
      </c>
      <c r="K126" s="309"/>
      <c r="L126" s="191"/>
      <c r="M126" s="194" t="str">
        <f t="shared" si="11"/>
        <v/>
      </c>
      <c r="N126" s="193" t="str">
        <f t="shared" si="12"/>
        <v/>
      </c>
      <c r="O126" s="195" t="str">
        <f t="shared" si="13"/>
        <v/>
      </c>
      <c r="P126" s="252"/>
      <c r="Q126" s="466"/>
      <c r="R126" s="467"/>
      <c r="S126" s="467"/>
      <c r="T126" s="468"/>
      <c r="U126" s="261"/>
      <c r="V126" s="261"/>
      <c r="W126" s="261"/>
      <c r="X126" s="262"/>
      <c r="Y126" s="261"/>
    </row>
    <row r="127" spans="2:25" hidden="1" outlineLevel="1" x14ac:dyDescent="0.25">
      <c r="B127" s="180"/>
      <c r="C127" s="357"/>
      <c r="D127" s="358"/>
      <c r="E127" s="185">
        <f t="shared" si="9"/>
        <v>0</v>
      </c>
      <c r="F127" s="359"/>
      <c r="G127" s="349"/>
      <c r="H127" s="206"/>
      <c r="I127" s="206"/>
      <c r="J127" s="297">
        <f t="shared" si="10"/>
        <v>0</v>
      </c>
      <c r="K127" s="309"/>
      <c r="L127" s="191"/>
      <c r="M127" s="194" t="str">
        <f t="shared" si="11"/>
        <v/>
      </c>
      <c r="N127" s="193" t="str">
        <f t="shared" si="12"/>
        <v/>
      </c>
      <c r="O127" s="195" t="str">
        <f t="shared" si="13"/>
        <v/>
      </c>
      <c r="P127" s="252"/>
      <c r="Q127" s="466"/>
      <c r="R127" s="467"/>
      <c r="S127" s="467"/>
      <c r="T127" s="468"/>
      <c r="U127" s="261"/>
      <c r="V127" s="261"/>
      <c r="W127" s="261"/>
      <c r="X127" s="262"/>
      <c r="Y127" s="261"/>
    </row>
    <row r="128" spans="2:25" hidden="1" outlineLevel="1" x14ac:dyDescent="0.25">
      <c r="B128" s="180"/>
      <c r="C128" s="357"/>
      <c r="D128" s="358"/>
      <c r="E128" s="185">
        <f t="shared" si="9"/>
        <v>0</v>
      </c>
      <c r="F128" s="359"/>
      <c r="G128" s="349"/>
      <c r="H128" s="206"/>
      <c r="I128" s="206"/>
      <c r="J128" s="297">
        <f t="shared" si="10"/>
        <v>0</v>
      </c>
      <c r="K128" s="309"/>
      <c r="L128" s="191"/>
      <c r="M128" s="194" t="str">
        <f t="shared" si="11"/>
        <v/>
      </c>
      <c r="N128" s="193" t="str">
        <f t="shared" si="12"/>
        <v/>
      </c>
      <c r="O128" s="195" t="str">
        <f t="shared" si="13"/>
        <v/>
      </c>
      <c r="P128" s="252"/>
      <c r="Q128" s="466"/>
      <c r="R128" s="467"/>
      <c r="S128" s="467"/>
      <c r="T128" s="468"/>
      <c r="U128" s="261"/>
      <c r="V128" s="261"/>
      <c r="W128" s="261"/>
      <c r="X128" s="262"/>
      <c r="Y128" s="261"/>
    </row>
    <row r="129" spans="2:25" hidden="1" outlineLevel="1" x14ac:dyDescent="0.25">
      <c r="B129" s="180"/>
      <c r="C129" s="357"/>
      <c r="D129" s="358"/>
      <c r="E129" s="185">
        <f t="shared" si="9"/>
        <v>0</v>
      </c>
      <c r="F129" s="359"/>
      <c r="G129" s="349"/>
      <c r="H129" s="206"/>
      <c r="I129" s="206"/>
      <c r="J129" s="297">
        <f t="shared" si="10"/>
        <v>0</v>
      </c>
      <c r="K129" s="309"/>
      <c r="L129" s="191"/>
      <c r="M129" s="194" t="str">
        <f t="shared" si="11"/>
        <v/>
      </c>
      <c r="N129" s="193" t="str">
        <f t="shared" si="12"/>
        <v/>
      </c>
      <c r="O129" s="195" t="str">
        <f t="shared" si="13"/>
        <v/>
      </c>
      <c r="P129" s="252"/>
      <c r="Q129" s="466"/>
      <c r="R129" s="467"/>
      <c r="S129" s="467"/>
      <c r="T129" s="468"/>
      <c r="U129" s="261"/>
      <c r="V129" s="261"/>
      <c r="W129" s="261"/>
      <c r="X129" s="262"/>
      <c r="Y129" s="261"/>
    </row>
    <row r="130" spans="2:25" hidden="1" outlineLevel="1" x14ac:dyDescent="0.25">
      <c r="B130" s="180"/>
      <c r="C130" s="357"/>
      <c r="D130" s="358"/>
      <c r="E130" s="185">
        <f t="shared" si="9"/>
        <v>0</v>
      </c>
      <c r="F130" s="359"/>
      <c r="G130" s="349"/>
      <c r="H130" s="206"/>
      <c r="I130" s="206"/>
      <c r="J130" s="297">
        <f t="shared" si="10"/>
        <v>0</v>
      </c>
      <c r="K130" s="309"/>
      <c r="L130" s="191"/>
      <c r="M130" s="194" t="str">
        <f t="shared" si="11"/>
        <v/>
      </c>
      <c r="N130" s="193" t="str">
        <f t="shared" si="12"/>
        <v/>
      </c>
      <c r="O130" s="195" t="str">
        <f t="shared" si="13"/>
        <v/>
      </c>
      <c r="P130" s="252"/>
      <c r="Q130" s="466"/>
      <c r="R130" s="467"/>
      <c r="S130" s="467"/>
      <c r="T130" s="468"/>
      <c r="U130" s="261"/>
      <c r="V130" s="261"/>
      <c r="W130" s="261"/>
      <c r="X130" s="262"/>
      <c r="Y130" s="261"/>
    </row>
    <row r="131" spans="2:25" hidden="1" outlineLevel="1" x14ac:dyDescent="0.25">
      <c r="B131" s="180"/>
      <c r="C131" s="357"/>
      <c r="D131" s="358"/>
      <c r="E131" s="185">
        <f t="shared" si="9"/>
        <v>0</v>
      </c>
      <c r="F131" s="359"/>
      <c r="G131" s="349"/>
      <c r="H131" s="206"/>
      <c r="I131" s="206"/>
      <c r="J131" s="297">
        <f t="shared" si="10"/>
        <v>0</v>
      </c>
      <c r="K131" s="309"/>
      <c r="L131" s="191"/>
      <c r="M131" s="194" t="str">
        <f t="shared" si="11"/>
        <v/>
      </c>
      <c r="N131" s="193" t="str">
        <f t="shared" si="12"/>
        <v/>
      </c>
      <c r="O131" s="195" t="str">
        <f t="shared" si="13"/>
        <v/>
      </c>
      <c r="P131" s="252"/>
      <c r="Q131" s="466"/>
      <c r="R131" s="467"/>
      <c r="S131" s="467"/>
      <c r="T131" s="468"/>
      <c r="U131" s="261"/>
      <c r="V131" s="261"/>
      <c r="W131" s="261"/>
      <c r="X131" s="262"/>
      <c r="Y131" s="261"/>
    </row>
    <row r="132" spans="2:25" hidden="1" outlineLevel="1" x14ac:dyDescent="0.25">
      <c r="B132" s="180"/>
      <c r="C132" s="357"/>
      <c r="D132" s="358"/>
      <c r="E132" s="185">
        <f t="shared" si="9"/>
        <v>0</v>
      </c>
      <c r="F132" s="359"/>
      <c r="G132" s="349"/>
      <c r="H132" s="206"/>
      <c r="I132" s="206"/>
      <c r="J132" s="297">
        <f t="shared" si="10"/>
        <v>0</v>
      </c>
      <c r="K132" s="309"/>
      <c r="L132" s="191"/>
      <c r="M132" s="194" t="str">
        <f t="shared" si="11"/>
        <v/>
      </c>
      <c r="N132" s="193" t="str">
        <f t="shared" si="12"/>
        <v/>
      </c>
      <c r="O132" s="195" t="str">
        <f t="shared" si="13"/>
        <v/>
      </c>
      <c r="P132" s="252"/>
      <c r="Q132" s="466"/>
      <c r="R132" s="467"/>
      <c r="S132" s="467"/>
      <c r="T132" s="468"/>
      <c r="U132" s="261"/>
      <c r="V132" s="261"/>
      <c r="W132" s="261"/>
      <c r="X132" s="262"/>
      <c r="Y132" s="261"/>
    </row>
    <row r="133" spans="2:25" hidden="1" outlineLevel="1" x14ac:dyDescent="0.25">
      <c r="B133" s="180"/>
      <c r="C133" s="357"/>
      <c r="D133" s="358"/>
      <c r="E133" s="185">
        <f t="shared" si="9"/>
        <v>0</v>
      </c>
      <c r="F133" s="359"/>
      <c r="G133" s="349"/>
      <c r="H133" s="206"/>
      <c r="I133" s="206"/>
      <c r="J133" s="297">
        <f t="shared" si="10"/>
        <v>0</v>
      </c>
      <c r="K133" s="309"/>
      <c r="L133" s="191"/>
      <c r="M133" s="194" t="str">
        <f t="shared" si="11"/>
        <v/>
      </c>
      <c r="N133" s="193" t="str">
        <f t="shared" si="12"/>
        <v/>
      </c>
      <c r="O133" s="195" t="str">
        <f t="shared" si="13"/>
        <v/>
      </c>
      <c r="P133" s="252"/>
      <c r="Q133" s="466"/>
      <c r="R133" s="467"/>
      <c r="S133" s="467"/>
      <c r="T133" s="468"/>
      <c r="U133" s="261"/>
      <c r="V133" s="261"/>
      <c r="W133" s="261"/>
      <c r="X133" s="262"/>
      <c r="Y133" s="261"/>
    </row>
    <row r="134" spans="2:25" hidden="1" outlineLevel="1" x14ac:dyDescent="0.25">
      <c r="B134" s="180"/>
      <c r="C134" s="357"/>
      <c r="D134" s="358"/>
      <c r="E134" s="185">
        <f t="shared" si="9"/>
        <v>0</v>
      </c>
      <c r="F134" s="359"/>
      <c r="G134" s="349"/>
      <c r="H134" s="206"/>
      <c r="I134" s="206"/>
      <c r="J134" s="297">
        <f t="shared" si="10"/>
        <v>0</v>
      </c>
      <c r="K134" s="309"/>
      <c r="L134" s="191"/>
      <c r="M134" s="194" t="str">
        <f t="shared" si="11"/>
        <v/>
      </c>
      <c r="N134" s="193" t="str">
        <f t="shared" si="12"/>
        <v/>
      </c>
      <c r="O134" s="195" t="str">
        <f t="shared" si="13"/>
        <v/>
      </c>
      <c r="P134" s="252"/>
      <c r="Q134" s="466"/>
      <c r="R134" s="467"/>
      <c r="S134" s="467"/>
      <c r="T134" s="468"/>
      <c r="U134" s="261"/>
      <c r="V134" s="261"/>
      <c r="W134" s="261"/>
      <c r="X134" s="262"/>
      <c r="Y134" s="261"/>
    </row>
    <row r="135" spans="2:25" hidden="1" outlineLevel="1" x14ac:dyDescent="0.25">
      <c r="B135" s="180"/>
      <c r="C135" s="357"/>
      <c r="D135" s="358"/>
      <c r="E135" s="185">
        <f t="shared" si="9"/>
        <v>0</v>
      </c>
      <c r="F135" s="359"/>
      <c r="G135" s="349"/>
      <c r="H135" s="206"/>
      <c r="I135" s="206"/>
      <c r="J135" s="297">
        <f t="shared" si="10"/>
        <v>0</v>
      </c>
      <c r="K135" s="309"/>
      <c r="L135" s="191"/>
      <c r="M135" s="194" t="str">
        <f t="shared" si="11"/>
        <v/>
      </c>
      <c r="N135" s="193" t="str">
        <f t="shared" si="12"/>
        <v/>
      </c>
      <c r="O135" s="195" t="str">
        <f t="shared" si="13"/>
        <v/>
      </c>
      <c r="P135" s="252"/>
      <c r="Q135" s="466"/>
      <c r="R135" s="467"/>
      <c r="S135" s="467"/>
      <c r="T135" s="468"/>
      <c r="U135" s="261"/>
      <c r="V135" s="261"/>
      <c r="W135" s="261"/>
      <c r="X135" s="262"/>
      <c r="Y135" s="261"/>
    </row>
    <row r="136" spans="2:25" hidden="1" outlineLevel="1" x14ac:dyDescent="0.25">
      <c r="B136" s="180"/>
      <c r="C136" s="357"/>
      <c r="D136" s="358"/>
      <c r="E136" s="185">
        <f t="shared" si="9"/>
        <v>0</v>
      </c>
      <c r="F136" s="359"/>
      <c r="G136" s="349"/>
      <c r="H136" s="206"/>
      <c r="I136" s="206"/>
      <c r="J136" s="297">
        <f t="shared" si="10"/>
        <v>0</v>
      </c>
      <c r="K136" s="309"/>
      <c r="L136" s="191"/>
      <c r="M136" s="194" t="str">
        <f t="shared" si="11"/>
        <v/>
      </c>
      <c r="N136" s="193" t="str">
        <f t="shared" si="12"/>
        <v/>
      </c>
      <c r="O136" s="195" t="str">
        <f t="shared" si="13"/>
        <v/>
      </c>
      <c r="P136" s="252"/>
      <c r="Q136" s="466"/>
      <c r="R136" s="467"/>
      <c r="S136" s="467"/>
      <c r="T136" s="468"/>
      <c r="U136" s="261"/>
      <c r="V136" s="261"/>
      <c r="W136" s="261"/>
      <c r="X136" s="262"/>
      <c r="Y136" s="261"/>
    </row>
    <row r="137" spans="2:25" hidden="1" outlineLevel="1" x14ac:dyDescent="0.25">
      <c r="B137" s="180"/>
      <c r="C137" s="357"/>
      <c r="D137" s="358"/>
      <c r="E137" s="185">
        <f t="shared" si="9"/>
        <v>0</v>
      </c>
      <c r="F137" s="359"/>
      <c r="G137" s="349"/>
      <c r="H137" s="206"/>
      <c r="I137" s="206"/>
      <c r="J137" s="297">
        <f t="shared" si="10"/>
        <v>0</v>
      </c>
      <c r="K137" s="309"/>
      <c r="L137" s="191"/>
      <c r="M137" s="194" t="str">
        <f t="shared" si="11"/>
        <v/>
      </c>
      <c r="N137" s="193" t="str">
        <f t="shared" si="12"/>
        <v/>
      </c>
      <c r="O137" s="195" t="str">
        <f t="shared" si="13"/>
        <v/>
      </c>
      <c r="P137" s="252"/>
      <c r="Q137" s="466"/>
      <c r="R137" s="467"/>
      <c r="S137" s="467"/>
      <c r="T137" s="468"/>
      <c r="U137" s="261"/>
      <c r="V137" s="261"/>
      <c r="W137" s="261"/>
      <c r="X137" s="262"/>
      <c r="Y137" s="261"/>
    </row>
    <row r="138" spans="2:25" hidden="1" outlineLevel="1" x14ac:dyDescent="0.25">
      <c r="B138" s="180"/>
      <c r="C138" s="357"/>
      <c r="D138" s="358"/>
      <c r="E138" s="185">
        <f t="shared" si="9"/>
        <v>0</v>
      </c>
      <c r="F138" s="359"/>
      <c r="G138" s="349"/>
      <c r="H138" s="206"/>
      <c r="I138" s="206"/>
      <c r="J138" s="297">
        <f t="shared" si="10"/>
        <v>0</v>
      </c>
      <c r="K138" s="309"/>
      <c r="L138" s="191"/>
      <c r="M138" s="194" t="str">
        <f t="shared" si="11"/>
        <v/>
      </c>
      <c r="N138" s="193" t="str">
        <f t="shared" si="12"/>
        <v/>
      </c>
      <c r="O138" s="195" t="str">
        <f t="shared" si="13"/>
        <v/>
      </c>
      <c r="P138" s="252"/>
      <c r="Q138" s="466"/>
      <c r="R138" s="467"/>
      <c r="S138" s="467"/>
      <c r="T138" s="468"/>
      <c r="U138" s="261"/>
      <c r="V138" s="261"/>
      <c r="W138" s="261"/>
      <c r="X138" s="262"/>
      <c r="Y138" s="261"/>
    </row>
    <row r="139" spans="2:25" hidden="1" outlineLevel="1" x14ac:dyDescent="0.25">
      <c r="B139" s="180"/>
      <c r="C139" s="357"/>
      <c r="D139" s="358"/>
      <c r="E139" s="185">
        <f t="shared" si="9"/>
        <v>0</v>
      </c>
      <c r="F139" s="359"/>
      <c r="G139" s="349"/>
      <c r="H139" s="206"/>
      <c r="I139" s="206"/>
      <c r="J139" s="297">
        <f t="shared" si="10"/>
        <v>0</v>
      </c>
      <c r="K139" s="309"/>
      <c r="L139" s="191"/>
      <c r="M139" s="194" t="str">
        <f t="shared" si="11"/>
        <v/>
      </c>
      <c r="N139" s="193" t="str">
        <f t="shared" si="12"/>
        <v/>
      </c>
      <c r="O139" s="195" t="str">
        <f t="shared" si="13"/>
        <v/>
      </c>
      <c r="P139" s="252"/>
      <c r="Q139" s="466"/>
      <c r="R139" s="467"/>
      <c r="S139" s="467"/>
      <c r="T139" s="468"/>
      <c r="U139" s="261"/>
      <c r="V139" s="261"/>
      <c r="W139" s="261"/>
      <c r="X139" s="262"/>
      <c r="Y139" s="261"/>
    </row>
    <row r="140" spans="2:25" hidden="1" outlineLevel="1" x14ac:dyDescent="0.25">
      <c r="B140" s="180"/>
      <c r="C140" s="357"/>
      <c r="D140" s="358"/>
      <c r="E140" s="185">
        <f t="shared" si="9"/>
        <v>0</v>
      </c>
      <c r="F140" s="359"/>
      <c r="G140" s="349"/>
      <c r="H140" s="206"/>
      <c r="I140" s="206"/>
      <c r="J140" s="297">
        <f t="shared" si="10"/>
        <v>0</v>
      </c>
      <c r="K140" s="309"/>
      <c r="L140" s="191"/>
      <c r="M140" s="194" t="str">
        <f t="shared" si="11"/>
        <v/>
      </c>
      <c r="N140" s="193" t="str">
        <f t="shared" si="12"/>
        <v/>
      </c>
      <c r="O140" s="195" t="str">
        <f t="shared" si="13"/>
        <v/>
      </c>
      <c r="P140" s="252"/>
      <c r="Q140" s="466"/>
      <c r="R140" s="467"/>
      <c r="S140" s="467"/>
      <c r="T140" s="468"/>
      <c r="U140" s="261"/>
      <c r="V140" s="261"/>
      <c r="W140" s="261"/>
      <c r="X140" s="262"/>
      <c r="Y140" s="261"/>
    </row>
    <row r="141" spans="2:25" hidden="1" outlineLevel="1" x14ac:dyDescent="0.25">
      <c r="B141" s="180"/>
      <c r="C141" s="357"/>
      <c r="D141" s="358"/>
      <c r="E141" s="185">
        <f t="shared" si="9"/>
        <v>0</v>
      </c>
      <c r="F141" s="359"/>
      <c r="G141" s="349"/>
      <c r="H141" s="206"/>
      <c r="I141" s="206"/>
      <c r="J141" s="297">
        <f t="shared" si="10"/>
        <v>0</v>
      </c>
      <c r="K141" s="309"/>
      <c r="L141" s="191"/>
      <c r="M141" s="194" t="str">
        <f t="shared" si="11"/>
        <v/>
      </c>
      <c r="N141" s="193" t="str">
        <f t="shared" si="12"/>
        <v/>
      </c>
      <c r="O141" s="195" t="str">
        <f t="shared" si="13"/>
        <v/>
      </c>
      <c r="P141" s="252"/>
      <c r="Q141" s="466"/>
      <c r="R141" s="467"/>
      <c r="S141" s="467"/>
      <c r="T141" s="468"/>
      <c r="U141" s="261"/>
      <c r="V141" s="261"/>
      <c r="W141" s="261"/>
      <c r="X141" s="262"/>
      <c r="Y141" s="261"/>
    </row>
    <row r="142" spans="2:25" hidden="1" outlineLevel="1" x14ac:dyDescent="0.25">
      <c r="B142" s="180"/>
      <c r="C142" s="357"/>
      <c r="D142" s="358"/>
      <c r="E142" s="185">
        <f t="shared" si="9"/>
        <v>0</v>
      </c>
      <c r="F142" s="359"/>
      <c r="G142" s="349"/>
      <c r="H142" s="206"/>
      <c r="I142" s="206"/>
      <c r="J142" s="297">
        <f t="shared" si="10"/>
        <v>0</v>
      </c>
      <c r="K142" s="309"/>
      <c r="L142" s="191"/>
      <c r="M142" s="194" t="str">
        <f t="shared" si="11"/>
        <v/>
      </c>
      <c r="N142" s="193" t="str">
        <f t="shared" si="12"/>
        <v/>
      </c>
      <c r="O142" s="195" t="str">
        <f t="shared" si="13"/>
        <v/>
      </c>
      <c r="P142" s="252"/>
      <c r="Q142" s="466"/>
      <c r="R142" s="467"/>
      <c r="S142" s="467"/>
      <c r="T142" s="468"/>
      <c r="U142" s="261"/>
      <c r="V142" s="261"/>
      <c r="W142" s="261"/>
      <c r="X142" s="262"/>
      <c r="Y142" s="261"/>
    </row>
    <row r="143" spans="2:25" hidden="1" outlineLevel="1" x14ac:dyDescent="0.25">
      <c r="B143" s="180"/>
      <c r="C143" s="357"/>
      <c r="D143" s="358"/>
      <c r="E143" s="185">
        <f t="shared" si="9"/>
        <v>0</v>
      </c>
      <c r="F143" s="359"/>
      <c r="G143" s="349"/>
      <c r="H143" s="206"/>
      <c r="I143" s="206"/>
      <c r="J143" s="297">
        <f t="shared" si="10"/>
        <v>0</v>
      </c>
      <c r="K143" s="309"/>
      <c r="L143" s="191"/>
      <c r="M143" s="194" t="str">
        <f t="shared" si="11"/>
        <v/>
      </c>
      <c r="N143" s="193" t="str">
        <f t="shared" si="12"/>
        <v/>
      </c>
      <c r="O143" s="195" t="str">
        <f t="shared" si="13"/>
        <v/>
      </c>
      <c r="P143" s="252"/>
      <c r="Q143" s="466"/>
      <c r="R143" s="467"/>
      <c r="S143" s="467"/>
      <c r="T143" s="468"/>
      <c r="U143" s="261"/>
      <c r="V143" s="261"/>
      <c r="W143" s="261"/>
      <c r="X143" s="262"/>
      <c r="Y143" s="261"/>
    </row>
    <row r="144" spans="2:25" hidden="1" outlineLevel="1" x14ac:dyDescent="0.25">
      <c r="B144" s="180"/>
      <c r="C144" s="357"/>
      <c r="D144" s="358"/>
      <c r="E144" s="185">
        <f t="shared" si="9"/>
        <v>0</v>
      </c>
      <c r="F144" s="359"/>
      <c r="G144" s="349"/>
      <c r="H144" s="206"/>
      <c r="I144" s="206"/>
      <c r="J144" s="297">
        <f t="shared" si="10"/>
        <v>0</v>
      </c>
      <c r="K144" s="309"/>
      <c r="L144" s="191"/>
      <c r="M144" s="194" t="str">
        <f t="shared" si="11"/>
        <v/>
      </c>
      <c r="N144" s="193" t="str">
        <f t="shared" si="12"/>
        <v/>
      </c>
      <c r="O144" s="195" t="str">
        <f t="shared" si="13"/>
        <v/>
      </c>
      <c r="P144" s="252"/>
      <c r="Q144" s="466"/>
      <c r="R144" s="467"/>
      <c r="S144" s="467"/>
      <c r="T144" s="468"/>
      <c r="U144" s="261"/>
      <c r="V144" s="261"/>
      <c r="W144" s="261"/>
      <c r="X144" s="262"/>
      <c r="Y144" s="261"/>
    </row>
    <row r="145" spans="2:25" hidden="1" outlineLevel="1" x14ac:dyDescent="0.25">
      <c r="B145" s="180"/>
      <c r="C145" s="357"/>
      <c r="D145" s="358"/>
      <c r="E145" s="185">
        <f t="shared" si="9"/>
        <v>0</v>
      </c>
      <c r="F145" s="359"/>
      <c r="G145" s="349"/>
      <c r="H145" s="206"/>
      <c r="I145" s="206"/>
      <c r="J145" s="297">
        <f t="shared" si="10"/>
        <v>0</v>
      </c>
      <c r="K145" s="309"/>
      <c r="L145" s="191"/>
      <c r="M145" s="194" t="str">
        <f t="shared" si="11"/>
        <v/>
      </c>
      <c r="N145" s="193" t="str">
        <f t="shared" si="12"/>
        <v/>
      </c>
      <c r="O145" s="195" t="str">
        <f t="shared" si="13"/>
        <v/>
      </c>
      <c r="P145" s="252"/>
      <c r="Q145" s="466"/>
      <c r="R145" s="467"/>
      <c r="S145" s="467"/>
      <c r="T145" s="468"/>
      <c r="U145" s="261"/>
      <c r="V145" s="261"/>
      <c r="W145" s="261"/>
      <c r="X145" s="262"/>
      <c r="Y145" s="261"/>
    </row>
    <row r="146" spans="2:25" hidden="1" outlineLevel="1" x14ac:dyDescent="0.25">
      <c r="B146" s="180"/>
      <c r="C146" s="357"/>
      <c r="D146" s="358"/>
      <c r="E146" s="185">
        <f t="shared" si="9"/>
        <v>0</v>
      </c>
      <c r="F146" s="359"/>
      <c r="G146" s="349"/>
      <c r="H146" s="206"/>
      <c r="I146" s="206"/>
      <c r="J146" s="297">
        <f t="shared" si="10"/>
        <v>0</v>
      </c>
      <c r="K146" s="309"/>
      <c r="L146" s="191"/>
      <c r="M146" s="194" t="str">
        <f t="shared" si="11"/>
        <v/>
      </c>
      <c r="N146" s="193" t="str">
        <f t="shared" si="12"/>
        <v/>
      </c>
      <c r="O146" s="195" t="str">
        <f t="shared" si="13"/>
        <v/>
      </c>
      <c r="P146" s="252"/>
      <c r="Q146" s="466"/>
      <c r="R146" s="467"/>
      <c r="S146" s="467"/>
      <c r="T146" s="468"/>
      <c r="U146" s="261"/>
      <c r="V146" s="261"/>
      <c r="W146" s="261"/>
      <c r="X146" s="262"/>
      <c r="Y146" s="261"/>
    </row>
    <row r="147" spans="2:25" hidden="1" outlineLevel="1" x14ac:dyDescent="0.25">
      <c r="B147" s="180"/>
      <c r="C147" s="357"/>
      <c r="D147" s="358"/>
      <c r="E147" s="185">
        <f t="shared" si="9"/>
        <v>0</v>
      </c>
      <c r="F147" s="359"/>
      <c r="G147" s="349"/>
      <c r="H147" s="206"/>
      <c r="I147" s="206"/>
      <c r="J147" s="297">
        <f t="shared" si="10"/>
        <v>0</v>
      </c>
      <c r="K147" s="309"/>
      <c r="L147" s="191"/>
      <c r="M147" s="194" t="str">
        <f t="shared" si="11"/>
        <v/>
      </c>
      <c r="N147" s="193" t="str">
        <f t="shared" si="12"/>
        <v/>
      </c>
      <c r="O147" s="195" t="str">
        <f t="shared" si="13"/>
        <v/>
      </c>
      <c r="P147" s="252"/>
      <c r="Q147" s="466"/>
      <c r="R147" s="467"/>
      <c r="S147" s="467"/>
      <c r="T147" s="468"/>
      <c r="U147" s="261"/>
      <c r="V147" s="261"/>
      <c r="W147" s="261"/>
      <c r="X147" s="262"/>
      <c r="Y147" s="261"/>
    </row>
    <row r="148" spans="2:25" hidden="1" outlineLevel="1" x14ac:dyDescent="0.25">
      <c r="B148" s="180"/>
      <c r="C148" s="357"/>
      <c r="D148" s="358"/>
      <c r="E148" s="185">
        <f t="shared" si="9"/>
        <v>0</v>
      </c>
      <c r="F148" s="359"/>
      <c r="G148" s="349"/>
      <c r="H148" s="206"/>
      <c r="I148" s="206"/>
      <c r="J148" s="297">
        <f t="shared" si="10"/>
        <v>0</v>
      </c>
      <c r="K148" s="309"/>
      <c r="L148" s="191"/>
      <c r="M148" s="194" t="str">
        <f t="shared" si="11"/>
        <v/>
      </c>
      <c r="N148" s="193" t="str">
        <f t="shared" si="12"/>
        <v/>
      </c>
      <c r="O148" s="195" t="str">
        <f t="shared" si="13"/>
        <v/>
      </c>
      <c r="P148" s="252"/>
      <c r="Q148" s="466"/>
      <c r="R148" s="467"/>
      <c r="S148" s="467"/>
      <c r="T148" s="468"/>
      <c r="U148" s="261"/>
      <c r="V148" s="261"/>
      <c r="W148" s="261"/>
      <c r="X148" s="262"/>
      <c r="Y148" s="261"/>
    </row>
    <row r="149" spans="2:25" hidden="1" outlineLevel="1" x14ac:dyDescent="0.25">
      <c r="B149" s="180"/>
      <c r="C149" s="357"/>
      <c r="D149" s="358"/>
      <c r="E149" s="185">
        <f t="shared" si="9"/>
        <v>0</v>
      </c>
      <c r="F149" s="359"/>
      <c r="G149" s="349"/>
      <c r="H149" s="206"/>
      <c r="I149" s="206"/>
      <c r="J149" s="297">
        <f t="shared" si="10"/>
        <v>0</v>
      </c>
      <c r="K149" s="309"/>
      <c r="L149" s="191"/>
      <c r="M149" s="194" t="str">
        <f t="shared" si="11"/>
        <v/>
      </c>
      <c r="N149" s="193" t="str">
        <f t="shared" si="12"/>
        <v/>
      </c>
      <c r="O149" s="195" t="str">
        <f t="shared" si="13"/>
        <v/>
      </c>
      <c r="P149" s="252"/>
      <c r="Q149" s="466"/>
      <c r="R149" s="467"/>
      <c r="S149" s="467"/>
      <c r="T149" s="468"/>
      <c r="U149" s="261"/>
      <c r="V149" s="261"/>
      <c r="W149" s="261"/>
      <c r="X149" s="262"/>
      <c r="Y149" s="261"/>
    </row>
    <row r="150" spans="2:25" hidden="1" outlineLevel="1" x14ac:dyDescent="0.25">
      <c r="B150" s="180"/>
      <c r="C150" s="357"/>
      <c r="D150" s="358"/>
      <c r="E150" s="185">
        <f t="shared" si="9"/>
        <v>0</v>
      </c>
      <c r="F150" s="359"/>
      <c r="G150" s="349"/>
      <c r="H150" s="206"/>
      <c r="I150" s="206"/>
      <c r="J150" s="297">
        <f t="shared" si="10"/>
        <v>0</v>
      </c>
      <c r="K150" s="309"/>
      <c r="L150" s="191"/>
      <c r="M150" s="194" t="str">
        <f t="shared" si="11"/>
        <v/>
      </c>
      <c r="N150" s="193" t="str">
        <f t="shared" si="12"/>
        <v/>
      </c>
      <c r="O150" s="195" t="str">
        <f t="shared" si="13"/>
        <v/>
      </c>
      <c r="P150" s="252"/>
      <c r="Q150" s="466"/>
      <c r="R150" s="467"/>
      <c r="S150" s="467"/>
      <c r="T150" s="468"/>
      <c r="U150" s="261"/>
      <c r="V150" s="261"/>
      <c r="W150" s="261"/>
      <c r="X150" s="262"/>
      <c r="Y150" s="261"/>
    </row>
    <row r="151" spans="2:25" hidden="1" outlineLevel="1" x14ac:dyDescent="0.25">
      <c r="B151" s="180"/>
      <c r="C151" s="357"/>
      <c r="D151" s="358"/>
      <c r="E151" s="185">
        <f t="shared" si="9"/>
        <v>0</v>
      </c>
      <c r="F151" s="359"/>
      <c r="G151" s="349"/>
      <c r="H151" s="206"/>
      <c r="I151" s="206"/>
      <c r="J151" s="297">
        <f t="shared" si="10"/>
        <v>0</v>
      </c>
      <c r="K151" s="309"/>
      <c r="L151" s="191"/>
      <c r="M151" s="194" t="str">
        <f t="shared" si="11"/>
        <v/>
      </c>
      <c r="N151" s="193" t="str">
        <f t="shared" si="12"/>
        <v/>
      </c>
      <c r="O151" s="195" t="str">
        <f t="shared" si="13"/>
        <v/>
      </c>
      <c r="P151" s="252"/>
      <c r="Q151" s="466"/>
      <c r="R151" s="467"/>
      <c r="S151" s="467"/>
      <c r="T151" s="468"/>
      <c r="U151" s="261"/>
      <c r="V151" s="261"/>
      <c r="W151" s="261"/>
      <c r="X151" s="262"/>
      <c r="Y151" s="261"/>
    </row>
    <row r="152" spans="2:25" hidden="1" outlineLevel="1" x14ac:dyDescent="0.25">
      <c r="B152" s="180"/>
      <c r="C152" s="357"/>
      <c r="D152" s="358"/>
      <c r="E152" s="185">
        <f t="shared" si="9"/>
        <v>0</v>
      </c>
      <c r="F152" s="359"/>
      <c r="G152" s="349"/>
      <c r="H152" s="206"/>
      <c r="I152" s="206"/>
      <c r="J152" s="297">
        <f t="shared" si="10"/>
        <v>0</v>
      </c>
      <c r="K152" s="309"/>
      <c r="L152" s="191"/>
      <c r="M152" s="194" t="str">
        <f t="shared" si="11"/>
        <v/>
      </c>
      <c r="N152" s="193" t="str">
        <f t="shared" si="12"/>
        <v/>
      </c>
      <c r="O152" s="195" t="str">
        <f t="shared" si="13"/>
        <v/>
      </c>
      <c r="P152" s="252"/>
      <c r="Q152" s="466"/>
      <c r="R152" s="467"/>
      <c r="S152" s="467"/>
      <c r="T152" s="468"/>
      <c r="U152" s="261"/>
      <c r="V152" s="261"/>
      <c r="W152" s="261"/>
      <c r="X152" s="262"/>
      <c r="Y152" s="261"/>
    </row>
    <row r="153" spans="2:25" hidden="1" outlineLevel="1" x14ac:dyDescent="0.25">
      <c r="B153" s="180"/>
      <c r="C153" s="357"/>
      <c r="D153" s="358"/>
      <c r="E153" s="185">
        <f t="shared" si="9"/>
        <v>0</v>
      </c>
      <c r="F153" s="359"/>
      <c r="G153" s="349"/>
      <c r="H153" s="206"/>
      <c r="I153" s="206"/>
      <c r="J153" s="297">
        <f t="shared" si="10"/>
        <v>0</v>
      </c>
      <c r="K153" s="309"/>
      <c r="L153" s="191"/>
      <c r="M153" s="194" t="str">
        <f t="shared" si="11"/>
        <v/>
      </c>
      <c r="N153" s="193" t="str">
        <f t="shared" si="12"/>
        <v/>
      </c>
      <c r="O153" s="195" t="str">
        <f t="shared" si="13"/>
        <v/>
      </c>
      <c r="P153" s="252"/>
      <c r="Q153" s="466"/>
      <c r="R153" s="467"/>
      <c r="S153" s="467"/>
      <c r="T153" s="468"/>
      <c r="U153" s="261"/>
      <c r="V153" s="261"/>
      <c r="W153" s="261"/>
      <c r="X153" s="262"/>
      <c r="Y153" s="261"/>
    </row>
    <row r="154" spans="2:25" hidden="1" outlineLevel="1" x14ac:dyDescent="0.25">
      <c r="B154" s="180"/>
      <c r="C154" s="357"/>
      <c r="D154" s="358"/>
      <c r="E154" s="185">
        <f t="shared" si="9"/>
        <v>0</v>
      </c>
      <c r="F154" s="359"/>
      <c r="G154" s="349"/>
      <c r="H154" s="206"/>
      <c r="I154" s="206"/>
      <c r="J154" s="297">
        <f t="shared" si="10"/>
        <v>0</v>
      </c>
      <c r="K154" s="309"/>
      <c r="L154" s="191"/>
      <c r="M154" s="194" t="str">
        <f t="shared" si="11"/>
        <v/>
      </c>
      <c r="N154" s="193" t="str">
        <f t="shared" si="12"/>
        <v/>
      </c>
      <c r="O154" s="195" t="str">
        <f t="shared" si="13"/>
        <v/>
      </c>
      <c r="P154" s="252"/>
      <c r="Q154" s="466"/>
      <c r="R154" s="467"/>
      <c r="S154" s="467"/>
      <c r="T154" s="468"/>
      <c r="U154" s="261"/>
      <c r="V154" s="261"/>
      <c r="W154" s="261"/>
      <c r="X154" s="262"/>
      <c r="Y154" s="261"/>
    </row>
    <row r="155" spans="2:25" hidden="1" outlineLevel="1" x14ac:dyDescent="0.25">
      <c r="B155" s="180"/>
      <c r="C155" s="357"/>
      <c r="D155" s="358"/>
      <c r="E155" s="185">
        <f t="shared" si="9"/>
        <v>0</v>
      </c>
      <c r="F155" s="359"/>
      <c r="G155" s="349"/>
      <c r="H155" s="206"/>
      <c r="I155" s="206"/>
      <c r="J155" s="297">
        <f t="shared" si="10"/>
        <v>0</v>
      </c>
      <c r="K155" s="309"/>
      <c r="L155" s="191"/>
      <c r="M155" s="194" t="str">
        <f t="shared" si="11"/>
        <v/>
      </c>
      <c r="N155" s="193" t="str">
        <f t="shared" si="12"/>
        <v/>
      </c>
      <c r="O155" s="195" t="str">
        <f t="shared" si="13"/>
        <v/>
      </c>
      <c r="P155" s="252"/>
      <c r="Q155" s="466"/>
      <c r="R155" s="467"/>
      <c r="S155" s="467"/>
      <c r="T155" s="468"/>
      <c r="U155" s="261"/>
      <c r="V155" s="261"/>
      <c r="W155" s="261"/>
      <c r="X155" s="262"/>
      <c r="Y155" s="261"/>
    </row>
    <row r="156" spans="2:25" hidden="1" outlineLevel="1" x14ac:dyDescent="0.25">
      <c r="B156" s="180"/>
      <c r="C156" s="357"/>
      <c r="D156" s="358"/>
      <c r="E156" s="185">
        <f t="shared" si="9"/>
        <v>0</v>
      </c>
      <c r="F156" s="359"/>
      <c r="G156" s="349"/>
      <c r="H156" s="206"/>
      <c r="I156" s="206"/>
      <c r="J156" s="297">
        <f t="shared" si="10"/>
        <v>0</v>
      </c>
      <c r="K156" s="309"/>
      <c r="L156" s="191"/>
      <c r="M156" s="194" t="str">
        <f t="shared" si="11"/>
        <v/>
      </c>
      <c r="N156" s="193" t="str">
        <f t="shared" si="12"/>
        <v/>
      </c>
      <c r="O156" s="195" t="str">
        <f t="shared" si="13"/>
        <v/>
      </c>
      <c r="P156" s="252"/>
      <c r="Q156" s="466"/>
      <c r="R156" s="467"/>
      <c r="S156" s="467"/>
      <c r="T156" s="468"/>
      <c r="U156" s="261"/>
      <c r="V156" s="261"/>
      <c r="W156" s="261"/>
      <c r="X156" s="262"/>
      <c r="Y156" s="261"/>
    </row>
    <row r="157" spans="2:25" hidden="1" outlineLevel="1" x14ac:dyDescent="0.25">
      <c r="B157" s="180"/>
      <c r="C157" s="357"/>
      <c r="D157" s="358"/>
      <c r="E157" s="185">
        <f t="shared" si="9"/>
        <v>0</v>
      </c>
      <c r="F157" s="359"/>
      <c r="G157" s="349"/>
      <c r="H157" s="206"/>
      <c r="I157" s="206"/>
      <c r="J157" s="297">
        <f t="shared" si="10"/>
        <v>0</v>
      </c>
      <c r="K157" s="309"/>
      <c r="L157" s="191"/>
      <c r="M157" s="194" t="str">
        <f t="shared" si="11"/>
        <v/>
      </c>
      <c r="N157" s="193" t="str">
        <f t="shared" si="12"/>
        <v/>
      </c>
      <c r="O157" s="195" t="str">
        <f t="shared" si="13"/>
        <v/>
      </c>
      <c r="P157" s="252"/>
      <c r="Q157" s="466"/>
      <c r="R157" s="467"/>
      <c r="S157" s="467"/>
      <c r="T157" s="468"/>
      <c r="U157" s="261"/>
      <c r="V157" s="261"/>
      <c r="W157" s="261"/>
      <c r="X157" s="262"/>
      <c r="Y157" s="261"/>
    </row>
    <row r="158" spans="2:25" hidden="1" outlineLevel="1" x14ac:dyDescent="0.25">
      <c r="B158" s="180"/>
      <c r="C158" s="357"/>
      <c r="D158" s="358"/>
      <c r="E158" s="185">
        <f t="shared" si="9"/>
        <v>0</v>
      </c>
      <c r="F158" s="359"/>
      <c r="G158" s="349"/>
      <c r="H158" s="206"/>
      <c r="I158" s="206"/>
      <c r="J158" s="297">
        <f t="shared" si="10"/>
        <v>0</v>
      </c>
      <c r="K158" s="309"/>
      <c r="L158" s="191"/>
      <c r="M158" s="194" t="str">
        <f t="shared" si="11"/>
        <v/>
      </c>
      <c r="N158" s="193" t="str">
        <f t="shared" si="12"/>
        <v/>
      </c>
      <c r="O158" s="195" t="str">
        <f t="shared" si="13"/>
        <v/>
      </c>
      <c r="P158" s="252"/>
      <c r="Q158" s="466"/>
      <c r="R158" s="467"/>
      <c r="S158" s="467"/>
      <c r="T158" s="468"/>
      <c r="U158" s="261"/>
      <c r="V158" s="261"/>
      <c r="W158" s="261"/>
      <c r="X158" s="262"/>
      <c r="Y158" s="261"/>
    </row>
    <row r="159" spans="2:25" hidden="1" outlineLevel="1" x14ac:dyDescent="0.25">
      <c r="B159" s="180"/>
      <c r="C159" s="357"/>
      <c r="D159" s="358"/>
      <c r="E159" s="185">
        <f t="shared" si="9"/>
        <v>0</v>
      </c>
      <c r="F159" s="359"/>
      <c r="G159" s="349"/>
      <c r="H159" s="206"/>
      <c r="I159" s="206"/>
      <c r="J159" s="297">
        <f t="shared" si="10"/>
        <v>0</v>
      </c>
      <c r="K159" s="309"/>
      <c r="L159" s="191"/>
      <c r="M159" s="194" t="str">
        <f t="shared" si="11"/>
        <v/>
      </c>
      <c r="N159" s="193" t="str">
        <f t="shared" si="12"/>
        <v/>
      </c>
      <c r="O159" s="195" t="str">
        <f t="shared" si="13"/>
        <v/>
      </c>
      <c r="P159" s="252"/>
      <c r="Q159" s="466"/>
      <c r="R159" s="467"/>
      <c r="S159" s="467"/>
      <c r="T159" s="468"/>
      <c r="U159" s="261"/>
      <c r="V159" s="261"/>
      <c r="W159" s="261"/>
      <c r="X159" s="262"/>
      <c r="Y159" s="261"/>
    </row>
    <row r="160" spans="2:25" hidden="1" outlineLevel="1" x14ac:dyDescent="0.25">
      <c r="B160" s="180"/>
      <c r="C160" s="357"/>
      <c r="D160" s="358"/>
      <c r="E160" s="185">
        <f t="shared" si="9"/>
        <v>0</v>
      </c>
      <c r="F160" s="359"/>
      <c r="G160" s="349"/>
      <c r="H160" s="206"/>
      <c r="I160" s="206"/>
      <c r="J160" s="297">
        <f t="shared" si="10"/>
        <v>0</v>
      </c>
      <c r="K160" s="309"/>
      <c r="L160" s="191"/>
      <c r="M160" s="194" t="str">
        <f t="shared" si="11"/>
        <v/>
      </c>
      <c r="N160" s="193" t="str">
        <f t="shared" si="12"/>
        <v/>
      </c>
      <c r="O160" s="195" t="str">
        <f t="shared" si="13"/>
        <v/>
      </c>
      <c r="P160" s="252"/>
      <c r="Q160" s="466"/>
      <c r="R160" s="467"/>
      <c r="S160" s="467"/>
      <c r="T160" s="468"/>
      <c r="U160" s="261"/>
      <c r="V160" s="261"/>
      <c r="W160" s="261"/>
      <c r="X160" s="262"/>
      <c r="Y160" s="261"/>
    </row>
    <row r="161" spans="2:25" hidden="1" outlineLevel="1" x14ac:dyDescent="0.25">
      <c r="B161" s="180"/>
      <c r="C161" s="357"/>
      <c r="D161" s="358"/>
      <c r="E161" s="185">
        <f t="shared" si="9"/>
        <v>0</v>
      </c>
      <c r="F161" s="359"/>
      <c r="G161" s="349"/>
      <c r="H161" s="206"/>
      <c r="I161" s="206"/>
      <c r="J161" s="297">
        <f t="shared" si="10"/>
        <v>0</v>
      </c>
      <c r="K161" s="309"/>
      <c r="L161" s="191"/>
      <c r="M161" s="194" t="str">
        <f t="shared" si="11"/>
        <v/>
      </c>
      <c r="N161" s="193" t="str">
        <f t="shared" si="12"/>
        <v/>
      </c>
      <c r="O161" s="195" t="str">
        <f t="shared" si="13"/>
        <v/>
      </c>
      <c r="P161" s="252"/>
      <c r="Q161" s="466"/>
      <c r="R161" s="467"/>
      <c r="S161" s="467"/>
      <c r="T161" s="468"/>
      <c r="U161" s="261"/>
      <c r="V161" s="261"/>
      <c r="W161" s="261"/>
      <c r="X161" s="262"/>
      <c r="Y161" s="261"/>
    </row>
    <row r="162" spans="2:25" hidden="1" outlineLevel="1" x14ac:dyDescent="0.25">
      <c r="B162" s="180"/>
      <c r="C162" s="357"/>
      <c r="D162" s="358"/>
      <c r="E162" s="185">
        <f t="shared" si="9"/>
        <v>0</v>
      </c>
      <c r="F162" s="359"/>
      <c r="G162" s="349"/>
      <c r="H162" s="206"/>
      <c r="I162" s="206"/>
      <c r="J162" s="297">
        <f t="shared" si="10"/>
        <v>0</v>
      </c>
      <c r="K162" s="309"/>
      <c r="L162" s="191"/>
      <c r="M162" s="194" t="str">
        <f t="shared" si="11"/>
        <v/>
      </c>
      <c r="N162" s="193" t="str">
        <f t="shared" si="12"/>
        <v/>
      </c>
      <c r="O162" s="195" t="str">
        <f t="shared" si="13"/>
        <v/>
      </c>
      <c r="P162" s="252"/>
      <c r="Q162" s="466"/>
      <c r="R162" s="467"/>
      <c r="S162" s="467"/>
      <c r="T162" s="468"/>
      <c r="U162" s="261"/>
      <c r="V162" s="261"/>
      <c r="W162" s="261"/>
      <c r="X162" s="262"/>
      <c r="Y162" s="261"/>
    </row>
    <row r="163" spans="2:25" hidden="1" outlineLevel="1" x14ac:dyDescent="0.25">
      <c r="B163" s="180"/>
      <c r="C163" s="357"/>
      <c r="D163" s="358"/>
      <c r="E163" s="185">
        <f t="shared" si="9"/>
        <v>0</v>
      </c>
      <c r="F163" s="359"/>
      <c r="G163" s="349"/>
      <c r="H163" s="206"/>
      <c r="I163" s="206"/>
      <c r="J163" s="297">
        <f t="shared" si="10"/>
        <v>0</v>
      </c>
      <c r="K163" s="309"/>
      <c r="L163" s="191"/>
      <c r="M163" s="194" t="str">
        <f t="shared" si="11"/>
        <v/>
      </c>
      <c r="N163" s="193" t="str">
        <f t="shared" si="12"/>
        <v/>
      </c>
      <c r="O163" s="195" t="str">
        <f t="shared" si="13"/>
        <v/>
      </c>
      <c r="P163" s="252"/>
      <c r="Q163" s="466"/>
      <c r="R163" s="467"/>
      <c r="S163" s="467"/>
      <c r="T163" s="468"/>
      <c r="U163" s="261"/>
      <c r="V163" s="261"/>
      <c r="W163" s="261"/>
      <c r="X163" s="262"/>
      <c r="Y163" s="261"/>
    </row>
    <row r="164" spans="2:25" hidden="1" outlineLevel="1" x14ac:dyDescent="0.25">
      <c r="B164" s="180"/>
      <c r="C164" s="357"/>
      <c r="D164" s="358"/>
      <c r="E164" s="185">
        <f t="shared" si="9"/>
        <v>0</v>
      </c>
      <c r="F164" s="359"/>
      <c r="G164" s="349"/>
      <c r="H164" s="206"/>
      <c r="I164" s="206"/>
      <c r="J164" s="297">
        <f t="shared" si="10"/>
        <v>0</v>
      </c>
      <c r="K164" s="309"/>
      <c r="L164" s="191"/>
      <c r="M164" s="194" t="str">
        <f t="shared" si="11"/>
        <v/>
      </c>
      <c r="N164" s="193" t="str">
        <f t="shared" si="12"/>
        <v/>
      </c>
      <c r="O164" s="195" t="str">
        <f t="shared" si="13"/>
        <v/>
      </c>
      <c r="P164" s="252"/>
      <c r="Q164" s="466"/>
      <c r="R164" s="467"/>
      <c r="S164" s="467"/>
      <c r="T164" s="468"/>
      <c r="U164" s="261"/>
      <c r="V164" s="261"/>
      <c r="W164" s="261"/>
      <c r="X164" s="262"/>
      <c r="Y164" s="261"/>
    </row>
    <row r="165" spans="2:25" hidden="1" outlineLevel="1" x14ac:dyDescent="0.25">
      <c r="B165" s="180"/>
      <c r="C165" s="357"/>
      <c r="D165" s="358"/>
      <c r="E165" s="185">
        <f t="shared" si="9"/>
        <v>0</v>
      </c>
      <c r="F165" s="359"/>
      <c r="G165" s="349"/>
      <c r="H165" s="206"/>
      <c r="I165" s="206"/>
      <c r="J165" s="297">
        <f t="shared" si="10"/>
        <v>0</v>
      </c>
      <c r="K165" s="309"/>
      <c r="L165" s="191"/>
      <c r="M165" s="194" t="str">
        <f t="shared" si="11"/>
        <v/>
      </c>
      <c r="N165" s="193" t="str">
        <f t="shared" si="12"/>
        <v/>
      </c>
      <c r="O165" s="195" t="str">
        <f t="shared" si="13"/>
        <v/>
      </c>
      <c r="P165" s="252"/>
      <c r="Q165" s="466"/>
      <c r="R165" s="467"/>
      <c r="S165" s="467"/>
      <c r="T165" s="468"/>
      <c r="U165" s="261"/>
      <c r="V165" s="261"/>
      <c r="W165" s="261"/>
      <c r="X165" s="262"/>
      <c r="Y165" s="261"/>
    </row>
    <row r="166" spans="2:25" hidden="1" outlineLevel="1" x14ac:dyDescent="0.25">
      <c r="B166" s="180"/>
      <c r="C166" s="357"/>
      <c r="D166" s="358"/>
      <c r="E166" s="185">
        <f t="shared" si="9"/>
        <v>0</v>
      </c>
      <c r="F166" s="359"/>
      <c r="G166" s="349"/>
      <c r="H166" s="206"/>
      <c r="I166" s="206"/>
      <c r="J166" s="297">
        <f t="shared" si="10"/>
        <v>0</v>
      </c>
      <c r="K166" s="309"/>
      <c r="L166" s="191"/>
      <c r="M166" s="194" t="str">
        <f t="shared" si="11"/>
        <v/>
      </c>
      <c r="N166" s="193" t="str">
        <f t="shared" si="12"/>
        <v/>
      </c>
      <c r="O166" s="195" t="str">
        <f t="shared" si="13"/>
        <v/>
      </c>
      <c r="P166" s="252"/>
      <c r="Q166" s="466"/>
      <c r="R166" s="467"/>
      <c r="S166" s="467"/>
      <c r="T166" s="468"/>
      <c r="U166" s="261"/>
      <c r="V166" s="261"/>
      <c r="W166" s="261"/>
      <c r="X166" s="262"/>
      <c r="Y166" s="261"/>
    </row>
    <row r="167" spans="2:25" hidden="1" outlineLevel="1" x14ac:dyDescent="0.25">
      <c r="B167" s="180"/>
      <c r="C167" s="357"/>
      <c r="D167" s="358"/>
      <c r="E167" s="185">
        <f t="shared" si="9"/>
        <v>0</v>
      </c>
      <c r="F167" s="359"/>
      <c r="G167" s="349"/>
      <c r="H167" s="206"/>
      <c r="I167" s="206"/>
      <c r="J167" s="297">
        <f t="shared" si="10"/>
        <v>0</v>
      </c>
      <c r="K167" s="309"/>
      <c r="L167" s="191"/>
      <c r="M167" s="194" t="str">
        <f t="shared" si="11"/>
        <v/>
      </c>
      <c r="N167" s="193" t="str">
        <f t="shared" si="12"/>
        <v/>
      </c>
      <c r="O167" s="195" t="str">
        <f t="shared" si="13"/>
        <v/>
      </c>
      <c r="P167" s="252"/>
      <c r="Q167" s="466"/>
      <c r="R167" s="467"/>
      <c r="S167" s="467"/>
      <c r="T167" s="468"/>
      <c r="U167" s="261"/>
      <c r="V167" s="261"/>
      <c r="W167" s="261"/>
      <c r="X167" s="262"/>
      <c r="Y167" s="261"/>
    </row>
    <row r="168" spans="2:25" hidden="1" outlineLevel="1" x14ac:dyDescent="0.25">
      <c r="B168" s="180"/>
      <c r="C168" s="357"/>
      <c r="D168" s="358"/>
      <c r="E168" s="185">
        <f t="shared" si="9"/>
        <v>0</v>
      </c>
      <c r="F168" s="359"/>
      <c r="G168" s="349"/>
      <c r="H168" s="206"/>
      <c r="I168" s="206"/>
      <c r="J168" s="297">
        <f t="shared" si="10"/>
        <v>0</v>
      </c>
      <c r="K168" s="309"/>
      <c r="L168" s="191"/>
      <c r="M168" s="194" t="str">
        <f t="shared" si="11"/>
        <v/>
      </c>
      <c r="N168" s="193" t="str">
        <f t="shared" si="12"/>
        <v/>
      </c>
      <c r="O168" s="195" t="str">
        <f t="shared" si="13"/>
        <v/>
      </c>
      <c r="P168" s="252"/>
      <c r="Q168" s="466"/>
      <c r="R168" s="467"/>
      <c r="S168" s="467"/>
      <c r="T168" s="468"/>
      <c r="U168" s="261"/>
      <c r="V168" s="261"/>
      <c r="W168" s="261"/>
      <c r="X168" s="262"/>
      <c r="Y168" s="261"/>
    </row>
    <row r="169" spans="2:25" hidden="1" outlineLevel="1" x14ac:dyDescent="0.25">
      <c r="B169" s="180"/>
      <c r="C169" s="357"/>
      <c r="D169" s="358"/>
      <c r="E169" s="185">
        <f t="shared" si="9"/>
        <v>0</v>
      </c>
      <c r="F169" s="359"/>
      <c r="G169" s="349"/>
      <c r="H169" s="206"/>
      <c r="I169" s="206"/>
      <c r="J169" s="297">
        <f t="shared" si="10"/>
        <v>0</v>
      </c>
      <c r="K169" s="309"/>
      <c r="L169" s="191"/>
      <c r="M169" s="194" t="str">
        <f t="shared" si="11"/>
        <v/>
      </c>
      <c r="N169" s="193" t="str">
        <f t="shared" si="12"/>
        <v/>
      </c>
      <c r="O169" s="195" t="str">
        <f t="shared" si="13"/>
        <v/>
      </c>
      <c r="P169" s="252"/>
      <c r="Q169" s="466"/>
      <c r="R169" s="467"/>
      <c r="S169" s="467"/>
      <c r="T169" s="468"/>
      <c r="U169" s="261"/>
      <c r="V169" s="261"/>
      <c r="W169" s="261"/>
      <c r="X169" s="262"/>
      <c r="Y169" s="261"/>
    </row>
    <row r="170" spans="2:25" hidden="1" outlineLevel="1" x14ac:dyDescent="0.25">
      <c r="B170" s="180"/>
      <c r="C170" s="357"/>
      <c r="D170" s="358"/>
      <c r="E170" s="185">
        <f t="shared" si="9"/>
        <v>0</v>
      </c>
      <c r="F170" s="359"/>
      <c r="G170" s="349"/>
      <c r="H170" s="206"/>
      <c r="I170" s="206"/>
      <c r="J170" s="297">
        <f t="shared" si="10"/>
        <v>0</v>
      </c>
      <c r="K170" s="309"/>
      <c r="L170" s="191"/>
      <c r="M170" s="194" t="str">
        <f t="shared" si="11"/>
        <v/>
      </c>
      <c r="N170" s="193" t="str">
        <f t="shared" si="12"/>
        <v/>
      </c>
      <c r="O170" s="195" t="str">
        <f t="shared" si="13"/>
        <v/>
      </c>
      <c r="P170" s="252"/>
      <c r="Q170" s="466"/>
      <c r="R170" s="467"/>
      <c r="S170" s="467"/>
      <c r="T170" s="468"/>
      <c r="U170" s="261"/>
      <c r="V170" s="261"/>
      <c r="W170" s="261"/>
      <c r="X170" s="262"/>
      <c r="Y170" s="261"/>
    </row>
    <row r="171" spans="2:25" hidden="1" outlineLevel="1" x14ac:dyDescent="0.25">
      <c r="B171" s="180"/>
      <c r="C171" s="357"/>
      <c r="D171" s="358"/>
      <c r="E171" s="185">
        <f t="shared" si="9"/>
        <v>0</v>
      </c>
      <c r="F171" s="359"/>
      <c r="G171" s="349"/>
      <c r="H171" s="206"/>
      <c r="I171" s="206"/>
      <c r="J171" s="297">
        <f t="shared" si="10"/>
        <v>0</v>
      </c>
      <c r="K171" s="309"/>
      <c r="L171" s="191"/>
      <c r="M171" s="194" t="str">
        <f t="shared" si="11"/>
        <v/>
      </c>
      <c r="N171" s="193" t="str">
        <f t="shared" si="12"/>
        <v/>
      </c>
      <c r="O171" s="195" t="str">
        <f t="shared" si="13"/>
        <v/>
      </c>
      <c r="P171" s="252"/>
      <c r="Q171" s="466"/>
      <c r="R171" s="467"/>
      <c r="S171" s="467"/>
      <c r="T171" s="468"/>
      <c r="U171" s="261"/>
      <c r="V171" s="261"/>
      <c r="W171" s="261"/>
      <c r="X171" s="262"/>
      <c r="Y171" s="261"/>
    </row>
    <row r="172" spans="2:25" hidden="1" outlineLevel="1" x14ac:dyDescent="0.25">
      <c r="B172" s="180"/>
      <c r="C172" s="357"/>
      <c r="D172" s="358"/>
      <c r="E172" s="185">
        <f t="shared" si="9"/>
        <v>0</v>
      </c>
      <c r="F172" s="359"/>
      <c r="G172" s="349"/>
      <c r="H172" s="206"/>
      <c r="I172" s="206"/>
      <c r="J172" s="297">
        <f t="shared" si="10"/>
        <v>0</v>
      </c>
      <c r="K172" s="309"/>
      <c r="L172" s="191"/>
      <c r="M172" s="194" t="str">
        <f t="shared" si="11"/>
        <v/>
      </c>
      <c r="N172" s="193" t="str">
        <f t="shared" si="12"/>
        <v/>
      </c>
      <c r="O172" s="195" t="str">
        <f t="shared" si="13"/>
        <v/>
      </c>
      <c r="P172" s="252"/>
      <c r="Q172" s="466"/>
      <c r="R172" s="467"/>
      <c r="S172" s="467"/>
      <c r="T172" s="468"/>
      <c r="U172" s="261"/>
      <c r="V172" s="261"/>
      <c r="W172" s="261"/>
      <c r="X172" s="262"/>
      <c r="Y172" s="261"/>
    </row>
    <row r="173" spans="2:25" hidden="1" outlineLevel="1" x14ac:dyDescent="0.25">
      <c r="B173" s="180"/>
      <c r="C173" s="357"/>
      <c r="D173" s="358"/>
      <c r="E173" s="185">
        <f t="shared" si="9"/>
        <v>0</v>
      </c>
      <c r="F173" s="359"/>
      <c r="G173" s="349"/>
      <c r="H173" s="206"/>
      <c r="I173" s="206"/>
      <c r="J173" s="297">
        <f t="shared" si="10"/>
        <v>0</v>
      </c>
      <c r="K173" s="309"/>
      <c r="L173" s="191"/>
      <c r="M173" s="194" t="str">
        <f t="shared" si="11"/>
        <v/>
      </c>
      <c r="N173" s="193" t="str">
        <f t="shared" si="12"/>
        <v/>
      </c>
      <c r="O173" s="195" t="str">
        <f t="shared" si="13"/>
        <v/>
      </c>
      <c r="P173" s="252"/>
      <c r="Q173" s="466"/>
      <c r="R173" s="467"/>
      <c r="S173" s="467"/>
      <c r="T173" s="468"/>
      <c r="U173" s="261"/>
      <c r="V173" s="261"/>
      <c r="W173" s="261"/>
      <c r="X173" s="262"/>
      <c r="Y173" s="261"/>
    </row>
    <row r="174" spans="2:25" hidden="1" outlineLevel="1" x14ac:dyDescent="0.25">
      <c r="B174" s="180"/>
      <c r="C174" s="357"/>
      <c r="D174" s="358"/>
      <c r="E174" s="185">
        <f t="shared" si="9"/>
        <v>0</v>
      </c>
      <c r="F174" s="359"/>
      <c r="G174" s="349"/>
      <c r="H174" s="206"/>
      <c r="I174" s="206"/>
      <c r="J174" s="297">
        <f t="shared" si="10"/>
        <v>0</v>
      </c>
      <c r="K174" s="309"/>
      <c r="L174" s="191"/>
      <c r="M174" s="194" t="str">
        <f t="shared" si="11"/>
        <v/>
      </c>
      <c r="N174" s="193" t="str">
        <f t="shared" si="12"/>
        <v/>
      </c>
      <c r="O174" s="195" t="str">
        <f t="shared" si="13"/>
        <v/>
      </c>
      <c r="P174" s="252"/>
      <c r="Q174" s="466"/>
      <c r="R174" s="467"/>
      <c r="S174" s="467"/>
      <c r="T174" s="468"/>
      <c r="U174" s="261"/>
      <c r="V174" s="261"/>
      <c r="W174" s="261"/>
      <c r="X174" s="262"/>
      <c r="Y174" s="261"/>
    </row>
    <row r="175" spans="2:25" hidden="1" outlineLevel="1" x14ac:dyDescent="0.25">
      <c r="B175" s="180"/>
      <c r="C175" s="357"/>
      <c r="D175" s="358"/>
      <c r="E175" s="185">
        <f t="shared" si="9"/>
        <v>0</v>
      </c>
      <c r="F175" s="359"/>
      <c r="G175" s="349"/>
      <c r="H175" s="206"/>
      <c r="I175" s="206"/>
      <c r="J175" s="297">
        <f t="shared" si="10"/>
        <v>0</v>
      </c>
      <c r="K175" s="309"/>
      <c r="L175" s="191"/>
      <c r="M175" s="194" t="str">
        <f t="shared" si="11"/>
        <v/>
      </c>
      <c r="N175" s="193" t="str">
        <f t="shared" si="12"/>
        <v/>
      </c>
      <c r="O175" s="195" t="str">
        <f t="shared" si="13"/>
        <v/>
      </c>
      <c r="P175" s="252"/>
      <c r="Q175" s="466"/>
      <c r="R175" s="467"/>
      <c r="S175" s="467"/>
      <c r="T175" s="468"/>
      <c r="U175" s="261"/>
      <c r="V175" s="261"/>
      <c r="W175" s="261"/>
      <c r="X175" s="262"/>
      <c r="Y175" s="261"/>
    </row>
    <row r="176" spans="2:25" hidden="1" outlineLevel="1" x14ac:dyDescent="0.25">
      <c r="B176" s="180"/>
      <c r="C176" s="357"/>
      <c r="D176" s="358"/>
      <c r="E176" s="185">
        <f t="shared" si="9"/>
        <v>0</v>
      </c>
      <c r="F176" s="359"/>
      <c r="G176" s="349"/>
      <c r="H176" s="206"/>
      <c r="I176" s="206"/>
      <c r="J176" s="297">
        <f t="shared" si="10"/>
        <v>0</v>
      </c>
      <c r="K176" s="309"/>
      <c r="L176" s="191"/>
      <c r="M176" s="194" t="str">
        <f t="shared" si="11"/>
        <v/>
      </c>
      <c r="N176" s="193" t="str">
        <f t="shared" si="12"/>
        <v/>
      </c>
      <c r="O176" s="195" t="str">
        <f t="shared" si="13"/>
        <v/>
      </c>
      <c r="P176" s="252"/>
      <c r="Q176" s="466"/>
      <c r="R176" s="467"/>
      <c r="S176" s="467"/>
      <c r="T176" s="468"/>
      <c r="U176" s="261"/>
      <c r="V176" s="261"/>
      <c r="W176" s="261"/>
      <c r="X176" s="262"/>
      <c r="Y176" s="261"/>
    </row>
    <row r="177" spans="2:25" hidden="1" outlineLevel="1" x14ac:dyDescent="0.25">
      <c r="B177" s="180"/>
      <c r="C177" s="357"/>
      <c r="D177" s="358"/>
      <c r="E177" s="185">
        <f t="shared" si="9"/>
        <v>0</v>
      </c>
      <c r="F177" s="359"/>
      <c r="G177" s="349"/>
      <c r="H177" s="206"/>
      <c r="I177" s="206"/>
      <c r="J177" s="297">
        <f t="shared" si="10"/>
        <v>0</v>
      </c>
      <c r="K177" s="309"/>
      <c r="L177" s="191"/>
      <c r="M177" s="194" t="str">
        <f t="shared" si="11"/>
        <v/>
      </c>
      <c r="N177" s="193" t="str">
        <f t="shared" si="12"/>
        <v/>
      </c>
      <c r="O177" s="195" t="str">
        <f t="shared" si="13"/>
        <v/>
      </c>
      <c r="P177" s="252"/>
      <c r="Q177" s="466"/>
      <c r="R177" s="467"/>
      <c r="S177" s="467"/>
      <c r="T177" s="468"/>
      <c r="U177" s="261"/>
      <c r="V177" s="261"/>
      <c r="W177" s="261"/>
      <c r="X177" s="262"/>
      <c r="Y177" s="261"/>
    </row>
    <row r="178" spans="2:25" hidden="1" outlineLevel="1" x14ac:dyDescent="0.25">
      <c r="B178" s="180"/>
      <c r="C178" s="357"/>
      <c r="D178" s="358"/>
      <c r="E178" s="185">
        <f t="shared" si="9"/>
        <v>0</v>
      </c>
      <c r="F178" s="359"/>
      <c r="G178" s="349"/>
      <c r="H178" s="206"/>
      <c r="I178" s="206"/>
      <c r="J178" s="297">
        <f t="shared" si="10"/>
        <v>0</v>
      </c>
      <c r="K178" s="309"/>
      <c r="L178" s="191"/>
      <c r="M178" s="194" t="str">
        <f t="shared" si="11"/>
        <v/>
      </c>
      <c r="N178" s="193" t="str">
        <f t="shared" si="12"/>
        <v/>
      </c>
      <c r="O178" s="195" t="str">
        <f t="shared" si="13"/>
        <v/>
      </c>
      <c r="P178" s="252"/>
      <c r="Q178" s="466"/>
      <c r="R178" s="467"/>
      <c r="S178" s="467"/>
      <c r="T178" s="468"/>
      <c r="U178" s="261"/>
      <c r="V178" s="261"/>
      <c r="W178" s="261"/>
      <c r="X178" s="262"/>
      <c r="Y178" s="261"/>
    </row>
    <row r="179" spans="2:25" hidden="1" outlineLevel="1" x14ac:dyDescent="0.25">
      <c r="B179" s="180"/>
      <c r="C179" s="357"/>
      <c r="D179" s="358"/>
      <c r="E179" s="185">
        <f t="shared" si="9"/>
        <v>0</v>
      </c>
      <c r="F179" s="359"/>
      <c r="G179" s="349"/>
      <c r="H179" s="206"/>
      <c r="I179" s="206"/>
      <c r="J179" s="297">
        <f t="shared" si="10"/>
        <v>0</v>
      </c>
      <c r="K179" s="309"/>
      <c r="L179" s="191"/>
      <c r="M179" s="194" t="str">
        <f t="shared" si="11"/>
        <v/>
      </c>
      <c r="N179" s="193" t="str">
        <f t="shared" si="12"/>
        <v/>
      </c>
      <c r="O179" s="195" t="str">
        <f t="shared" si="13"/>
        <v/>
      </c>
      <c r="P179" s="252"/>
      <c r="Q179" s="466"/>
      <c r="R179" s="467"/>
      <c r="S179" s="467"/>
      <c r="T179" s="468"/>
      <c r="U179" s="261"/>
      <c r="V179" s="261"/>
      <c r="W179" s="261"/>
      <c r="X179" s="262"/>
      <c r="Y179" s="261"/>
    </row>
    <row r="180" spans="2:25" hidden="1" outlineLevel="1" x14ac:dyDescent="0.25">
      <c r="B180" s="180"/>
      <c r="C180" s="357"/>
      <c r="D180" s="358"/>
      <c r="E180" s="185">
        <f t="shared" si="9"/>
        <v>0</v>
      </c>
      <c r="F180" s="359"/>
      <c r="G180" s="349"/>
      <c r="H180" s="206"/>
      <c r="I180" s="206"/>
      <c r="J180" s="297">
        <f t="shared" si="10"/>
        <v>0</v>
      </c>
      <c r="K180" s="309"/>
      <c r="L180" s="191"/>
      <c r="M180" s="194" t="str">
        <f t="shared" si="11"/>
        <v/>
      </c>
      <c r="N180" s="193" t="str">
        <f t="shared" si="12"/>
        <v/>
      </c>
      <c r="O180" s="195" t="str">
        <f t="shared" si="13"/>
        <v/>
      </c>
      <c r="P180" s="252"/>
      <c r="Q180" s="466"/>
      <c r="R180" s="467"/>
      <c r="S180" s="467"/>
      <c r="T180" s="468"/>
      <c r="U180" s="261"/>
      <c r="V180" s="261"/>
      <c r="W180" s="261"/>
      <c r="X180" s="262"/>
      <c r="Y180" s="261"/>
    </row>
    <row r="181" spans="2:25" hidden="1" outlineLevel="1" x14ac:dyDescent="0.25">
      <c r="B181" s="180"/>
      <c r="C181" s="357"/>
      <c r="D181" s="358"/>
      <c r="E181" s="185">
        <f t="shared" ref="E181:E202" si="14">C181+D181</f>
        <v>0</v>
      </c>
      <c r="F181" s="359"/>
      <c r="G181" s="349"/>
      <c r="H181" s="206"/>
      <c r="I181" s="206"/>
      <c r="J181" s="297">
        <f t="shared" ref="J181:J202" si="15">H181+I181</f>
        <v>0</v>
      </c>
      <c r="K181" s="309"/>
      <c r="L181" s="191"/>
      <c r="M181" s="194" t="str">
        <f t="shared" ref="M181:M202" si="16">IF(AND(G181&gt;0,OR(C181&gt;0,F181&gt;0,H181&gt;0)),(G181-F181)/G181,"")</f>
        <v/>
      </c>
      <c r="N181" s="193" t="str">
        <f t="shared" ref="N181:N202" si="17">IF(G181&gt;0,(IF(C181&gt;0,C181,H181))/G181,"")</f>
        <v/>
      </c>
      <c r="O181" s="195" t="str">
        <f t="shared" ref="O181:O202" si="18">IF(M181=100%,G181-(IF(C181&gt;0,C181,H181)),"")</f>
        <v/>
      </c>
      <c r="P181" s="252"/>
      <c r="Q181" s="466"/>
      <c r="R181" s="467"/>
      <c r="S181" s="467"/>
      <c r="T181" s="468"/>
      <c r="U181" s="261"/>
      <c r="V181" s="261"/>
      <c r="W181" s="261"/>
      <c r="X181" s="262"/>
      <c r="Y181" s="261"/>
    </row>
    <row r="182" spans="2:25" hidden="1" outlineLevel="1" x14ac:dyDescent="0.25">
      <c r="B182" s="180"/>
      <c r="C182" s="357"/>
      <c r="D182" s="358"/>
      <c r="E182" s="185">
        <f t="shared" si="14"/>
        <v>0</v>
      </c>
      <c r="F182" s="359"/>
      <c r="G182" s="349"/>
      <c r="H182" s="206"/>
      <c r="I182" s="206"/>
      <c r="J182" s="297">
        <f t="shared" si="15"/>
        <v>0</v>
      </c>
      <c r="K182" s="309"/>
      <c r="L182" s="191"/>
      <c r="M182" s="194" t="str">
        <f t="shared" si="16"/>
        <v/>
      </c>
      <c r="N182" s="193" t="str">
        <f t="shared" si="17"/>
        <v/>
      </c>
      <c r="O182" s="195" t="str">
        <f t="shared" si="18"/>
        <v/>
      </c>
      <c r="P182" s="252"/>
      <c r="Q182" s="466"/>
      <c r="R182" s="467"/>
      <c r="S182" s="467"/>
      <c r="T182" s="468"/>
      <c r="U182" s="261"/>
      <c r="V182" s="261"/>
      <c r="W182" s="261"/>
      <c r="X182" s="262"/>
      <c r="Y182" s="261"/>
    </row>
    <row r="183" spans="2:25" hidden="1" outlineLevel="1" x14ac:dyDescent="0.25">
      <c r="B183" s="180"/>
      <c r="C183" s="357"/>
      <c r="D183" s="358"/>
      <c r="E183" s="185">
        <f t="shared" si="14"/>
        <v>0</v>
      </c>
      <c r="F183" s="359"/>
      <c r="G183" s="349"/>
      <c r="H183" s="206"/>
      <c r="I183" s="206"/>
      <c r="J183" s="297">
        <f t="shared" si="15"/>
        <v>0</v>
      </c>
      <c r="K183" s="309"/>
      <c r="L183" s="191"/>
      <c r="M183" s="194" t="str">
        <f t="shared" si="16"/>
        <v/>
      </c>
      <c r="N183" s="193" t="str">
        <f t="shared" si="17"/>
        <v/>
      </c>
      <c r="O183" s="195" t="str">
        <f t="shared" si="18"/>
        <v/>
      </c>
      <c r="P183" s="252"/>
      <c r="Q183" s="466"/>
      <c r="R183" s="467"/>
      <c r="S183" s="467"/>
      <c r="T183" s="468"/>
      <c r="U183" s="261"/>
      <c r="V183" s="261"/>
      <c r="W183" s="261"/>
      <c r="X183" s="262"/>
      <c r="Y183" s="261"/>
    </row>
    <row r="184" spans="2:25" hidden="1" outlineLevel="1" x14ac:dyDescent="0.25">
      <c r="B184" s="180"/>
      <c r="C184" s="357"/>
      <c r="D184" s="358"/>
      <c r="E184" s="185">
        <f t="shared" si="14"/>
        <v>0</v>
      </c>
      <c r="F184" s="359"/>
      <c r="G184" s="349"/>
      <c r="H184" s="206"/>
      <c r="I184" s="206"/>
      <c r="J184" s="297">
        <f t="shared" si="15"/>
        <v>0</v>
      </c>
      <c r="K184" s="309"/>
      <c r="L184" s="191"/>
      <c r="M184" s="194" t="str">
        <f t="shared" si="16"/>
        <v/>
      </c>
      <c r="N184" s="193" t="str">
        <f t="shared" si="17"/>
        <v/>
      </c>
      <c r="O184" s="195" t="str">
        <f t="shared" si="18"/>
        <v/>
      </c>
      <c r="P184" s="252"/>
      <c r="Q184" s="466"/>
      <c r="R184" s="467"/>
      <c r="S184" s="467"/>
      <c r="T184" s="468"/>
      <c r="U184" s="261"/>
      <c r="V184" s="261"/>
      <c r="W184" s="261"/>
      <c r="X184" s="262"/>
      <c r="Y184" s="261"/>
    </row>
    <row r="185" spans="2:25" hidden="1" outlineLevel="1" x14ac:dyDescent="0.25">
      <c r="B185" s="180"/>
      <c r="C185" s="357"/>
      <c r="D185" s="358"/>
      <c r="E185" s="185">
        <f t="shared" si="14"/>
        <v>0</v>
      </c>
      <c r="F185" s="359"/>
      <c r="G185" s="349"/>
      <c r="H185" s="206"/>
      <c r="I185" s="206"/>
      <c r="J185" s="297">
        <f t="shared" si="15"/>
        <v>0</v>
      </c>
      <c r="K185" s="309"/>
      <c r="L185" s="191"/>
      <c r="M185" s="194" t="str">
        <f t="shared" si="16"/>
        <v/>
      </c>
      <c r="N185" s="193" t="str">
        <f t="shared" si="17"/>
        <v/>
      </c>
      <c r="O185" s="195" t="str">
        <f t="shared" si="18"/>
        <v/>
      </c>
      <c r="P185" s="252"/>
      <c r="Q185" s="466"/>
      <c r="R185" s="467"/>
      <c r="S185" s="467"/>
      <c r="T185" s="468"/>
      <c r="U185" s="261"/>
      <c r="V185" s="261"/>
      <c r="W185" s="261"/>
      <c r="X185" s="262"/>
      <c r="Y185" s="261"/>
    </row>
    <row r="186" spans="2:25" hidden="1" outlineLevel="1" x14ac:dyDescent="0.25">
      <c r="B186" s="180"/>
      <c r="C186" s="357"/>
      <c r="D186" s="358"/>
      <c r="E186" s="185">
        <f t="shared" si="14"/>
        <v>0</v>
      </c>
      <c r="F186" s="359"/>
      <c r="G186" s="349"/>
      <c r="H186" s="206"/>
      <c r="I186" s="206"/>
      <c r="J186" s="297">
        <f t="shared" si="15"/>
        <v>0</v>
      </c>
      <c r="K186" s="309"/>
      <c r="L186" s="191"/>
      <c r="M186" s="194" t="str">
        <f t="shared" si="16"/>
        <v/>
      </c>
      <c r="N186" s="193" t="str">
        <f t="shared" si="17"/>
        <v/>
      </c>
      <c r="O186" s="195" t="str">
        <f t="shared" si="18"/>
        <v/>
      </c>
      <c r="P186" s="252"/>
      <c r="Q186" s="466"/>
      <c r="R186" s="467"/>
      <c r="S186" s="467"/>
      <c r="T186" s="468"/>
      <c r="U186" s="261"/>
      <c r="V186" s="261"/>
      <c r="W186" s="261"/>
      <c r="X186" s="262"/>
      <c r="Y186" s="261"/>
    </row>
    <row r="187" spans="2:25" hidden="1" outlineLevel="1" x14ac:dyDescent="0.25">
      <c r="B187" s="180"/>
      <c r="C187" s="357"/>
      <c r="D187" s="358"/>
      <c r="E187" s="185">
        <f t="shared" si="14"/>
        <v>0</v>
      </c>
      <c r="F187" s="359"/>
      <c r="G187" s="349"/>
      <c r="H187" s="206"/>
      <c r="I187" s="206"/>
      <c r="J187" s="297">
        <f t="shared" si="15"/>
        <v>0</v>
      </c>
      <c r="K187" s="309"/>
      <c r="L187" s="191"/>
      <c r="M187" s="194" t="str">
        <f t="shared" si="16"/>
        <v/>
      </c>
      <c r="N187" s="193" t="str">
        <f t="shared" si="17"/>
        <v/>
      </c>
      <c r="O187" s="195" t="str">
        <f t="shared" si="18"/>
        <v/>
      </c>
      <c r="P187" s="252"/>
      <c r="Q187" s="466"/>
      <c r="R187" s="467"/>
      <c r="S187" s="467"/>
      <c r="T187" s="468"/>
      <c r="U187" s="261"/>
      <c r="V187" s="261"/>
      <c r="W187" s="261"/>
      <c r="X187" s="262"/>
      <c r="Y187" s="261"/>
    </row>
    <row r="188" spans="2:25" hidden="1" outlineLevel="1" x14ac:dyDescent="0.25">
      <c r="B188" s="180"/>
      <c r="C188" s="357"/>
      <c r="D188" s="358"/>
      <c r="E188" s="185">
        <f t="shared" si="14"/>
        <v>0</v>
      </c>
      <c r="F188" s="359"/>
      <c r="G188" s="349"/>
      <c r="H188" s="206"/>
      <c r="I188" s="206"/>
      <c r="J188" s="297">
        <f t="shared" si="15"/>
        <v>0</v>
      </c>
      <c r="K188" s="309"/>
      <c r="L188" s="191"/>
      <c r="M188" s="194" t="str">
        <f t="shared" si="16"/>
        <v/>
      </c>
      <c r="N188" s="193" t="str">
        <f t="shared" si="17"/>
        <v/>
      </c>
      <c r="O188" s="195" t="str">
        <f t="shared" si="18"/>
        <v/>
      </c>
      <c r="P188" s="252"/>
      <c r="Q188" s="466"/>
      <c r="R188" s="467"/>
      <c r="S188" s="467"/>
      <c r="T188" s="468"/>
      <c r="U188" s="261"/>
      <c r="V188" s="261"/>
      <c r="W188" s="261"/>
      <c r="X188" s="262"/>
      <c r="Y188" s="261"/>
    </row>
    <row r="189" spans="2:25" hidden="1" outlineLevel="1" x14ac:dyDescent="0.25">
      <c r="B189" s="180"/>
      <c r="C189" s="357"/>
      <c r="D189" s="358"/>
      <c r="E189" s="185">
        <f t="shared" si="14"/>
        <v>0</v>
      </c>
      <c r="F189" s="359"/>
      <c r="G189" s="349"/>
      <c r="H189" s="206"/>
      <c r="I189" s="206"/>
      <c r="J189" s="297">
        <f t="shared" si="15"/>
        <v>0</v>
      </c>
      <c r="K189" s="309"/>
      <c r="L189" s="191"/>
      <c r="M189" s="194" t="str">
        <f t="shared" si="16"/>
        <v/>
      </c>
      <c r="N189" s="193" t="str">
        <f t="shared" si="17"/>
        <v/>
      </c>
      <c r="O189" s="195" t="str">
        <f t="shared" si="18"/>
        <v/>
      </c>
      <c r="P189" s="252"/>
      <c r="Q189" s="466"/>
      <c r="R189" s="467"/>
      <c r="S189" s="467"/>
      <c r="T189" s="468"/>
      <c r="U189" s="261"/>
      <c r="V189" s="261"/>
      <c r="W189" s="261"/>
      <c r="X189" s="262"/>
      <c r="Y189" s="261"/>
    </row>
    <row r="190" spans="2:25" hidden="1" outlineLevel="1" x14ac:dyDescent="0.25">
      <c r="B190" s="180"/>
      <c r="C190" s="357"/>
      <c r="D190" s="358"/>
      <c r="E190" s="185">
        <f t="shared" si="14"/>
        <v>0</v>
      </c>
      <c r="F190" s="359"/>
      <c r="G190" s="349"/>
      <c r="H190" s="206"/>
      <c r="I190" s="206"/>
      <c r="J190" s="297">
        <f t="shared" si="15"/>
        <v>0</v>
      </c>
      <c r="K190" s="309"/>
      <c r="L190" s="191"/>
      <c r="M190" s="194" t="str">
        <f t="shared" si="16"/>
        <v/>
      </c>
      <c r="N190" s="193" t="str">
        <f t="shared" si="17"/>
        <v/>
      </c>
      <c r="O190" s="195" t="str">
        <f t="shared" si="18"/>
        <v/>
      </c>
      <c r="P190" s="252"/>
      <c r="Q190" s="466"/>
      <c r="R190" s="467"/>
      <c r="S190" s="467"/>
      <c r="T190" s="468"/>
      <c r="U190" s="261"/>
      <c r="V190" s="261"/>
      <c r="W190" s="261"/>
      <c r="X190" s="262"/>
      <c r="Y190" s="261"/>
    </row>
    <row r="191" spans="2:25" hidden="1" outlineLevel="1" x14ac:dyDescent="0.25">
      <c r="B191" s="180"/>
      <c r="C191" s="357"/>
      <c r="D191" s="358"/>
      <c r="E191" s="185">
        <f t="shared" si="14"/>
        <v>0</v>
      </c>
      <c r="F191" s="359"/>
      <c r="G191" s="349"/>
      <c r="H191" s="206"/>
      <c r="I191" s="206"/>
      <c r="J191" s="297">
        <f t="shared" si="15"/>
        <v>0</v>
      </c>
      <c r="K191" s="309"/>
      <c r="L191" s="191"/>
      <c r="M191" s="194" t="str">
        <f t="shared" si="16"/>
        <v/>
      </c>
      <c r="N191" s="193" t="str">
        <f t="shared" si="17"/>
        <v/>
      </c>
      <c r="O191" s="195" t="str">
        <f t="shared" si="18"/>
        <v/>
      </c>
      <c r="P191" s="252"/>
      <c r="Q191" s="466"/>
      <c r="R191" s="467"/>
      <c r="S191" s="467"/>
      <c r="T191" s="468"/>
      <c r="U191" s="261"/>
      <c r="V191" s="261"/>
      <c r="W191" s="261"/>
      <c r="X191" s="262"/>
      <c r="Y191" s="261"/>
    </row>
    <row r="192" spans="2:25" hidden="1" outlineLevel="1" x14ac:dyDescent="0.25">
      <c r="B192" s="180"/>
      <c r="C192" s="357"/>
      <c r="D192" s="358"/>
      <c r="E192" s="185">
        <f t="shared" si="14"/>
        <v>0</v>
      </c>
      <c r="F192" s="359"/>
      <c r="G192" s="349"/>
      <c r="H192" s="206"/>
      <c r="I192" s="206"/>
      <c r="J192" s="297">
        <f t="shared" si="15"/>
        <v>0</v>
      </c>
      <c r="K192" s="309"/>
      <c r="L192" s="191"/>
      <c r="M192" s="194" t="str">
        <f t="shared" si="16"/>
        <v/>
      </c>
      <c r="N192" s="193" t="str">
        <f t="shared" si="17"/>
        <v/>
      </c>
      <c r="O192" s="195" t="str">
        <f t="shared" si="18"/>
        <v/>
      </c>
      <c r="P192" s="252"/>
      <c r="Q192" s="466"/>
      <c r="R192" s="467"/>
      <c r="S192" s="467"/>
      <c r="T192" s="468"/>
      <c r="U192" s="261"/>
      <c r="V192" s="261"/>
      <c r="W192" s="261"/>
      <c r="X192" s="262"/>
      <c r="Y192" s="261"/>
    </row>
    <row r="193" spans="2:25" hidden="1" outlineLevel="1" x14ac:dyDescent="0.25">
      <c r="B193" s="180"/>
      <c r="C193" s="357"/>
      <c r="D193" s="358"/>
      <c r="E193" s="185">
        <f t="shared" si="14"/>
        <v>0</v>
      </c>
      <c r="F193" s="359"/>
      <c r="G193" s="349"/>
      <c r="H193" s="206"/>
      <c r="I193" s="206"/>
      <c r="J193" s="297">
        <f t="shared" si="15"/>
        <v>0</v>
      </c>
      <c r="K193" s="309"/>
      <c r="L193" s="191"/>
      <c r="M193" s="194" t="str">
        <f t="shared" si="16"/>
        <v/>
      </c>
      <c r="N193" s="193" t="str">
        <f t="shared" si="17"/>
        <v/>
      </c>
      <c r="O193" s="195" t="str">
        <f t="shared" si="18"/>
        <v/>
      </c>
      <c r="P193" s="252"/>
      <c r="Q193" s="466"/>
      <c r="R193" s="467"/>
      <c r="S193" s="467"/>
      <c r="T193" s="468"/>
      <c r="U193" s="261"/>
      <c r="V193" s="261"/>
      <c r="W193" s="261"/>
      <c r="X193" s="262"/>
      <c r="Y193" s="261"/>
    </row>
    <row r="194" spans="2:25" hidden="1" outlineLevel="1" x14ac:dyDescent="0.25">
      <c r="B194" s="180"/>
      <c r="C194" s="357"/>
      <c r="D194" s="358"/>
      <c r="E194" s="185">
        <f t="shared" si="14"/>
        <v>0</v>
      </c>
      <c r="F194" s="359"/>
      <c r="G194" s="349"/>
      <c r="H194" s="206"/>
      <c r="I194" s="206"/>
      <c r="J194" s="297">
        <f t="shared" si="15"/>
        <v>0</v>
      </c>
      <c r="K194" s="309"/>
      <c r="L194" s="191"/>
      <c r="M194" s="194" t="str">
        <f t="shared" si="16"/>
        <v/>
      </c>
      <c r="N194" s="193" t="str">
        <f t="shared" si="17"/>
        <v/>
      </c>
      <c r="O194" s="195" t="str">
        <f t="shared" si="18"/>
        <v/>
      </c>
      <c r="P194" s="252"/>
      <c r="Q194" s="466"/>
      <c r="R194" s="467"/>
      <c r="S194" s="467"/>
      <c r="T194" s="468"/>
      <c r="U194" s="261"/>
      <c r="V194" s="261"/>
      <c r="W194" s="261"/>
      <c r="X194" s="262"/>
      <c r="Y194" s="261"/>
    </row>
    <row r="195" spans="2:25" hidden="1" outlineLevel="1" x14ac:dyDescent="0.25">
      <c r="B195" s="180"/>
      <c r="C195" s="357"/>
      <c r="D195" s="358"/>
      <c r="E195" s="185">
        <f t="shared" si="14"/>
        <v>0</v>
      </c>
      <c r="F195" s="359"/>
      <c r="G195" s="349"/>
      <c r="H195" s="206"/>
      <c r="I195" s="206"/>
      <c r="J195" s="297">
        <f t="shared" si="15"/>
        <v>0</v>
      </c>
      <c r="K195" s="309"/>
      <c r="L195" s="191"/>
      <c r="M195" s="194" t="str">
        <f t="shared" si="16"/>
        <v/>
      </c>
      <c r="N195" s="193" t="str">
        <f t="shared" si="17"/>
        <v/>
      </c>
      <c r="O195" s="195" t="str">
        <f t="shared" si="18"/>
        <v/>
      </c>
      <c r="P195" s="252"/>
      <c r="Q195" s="466"/>
      <c r="R195" s="467"/>
      <c r="S195" s="467"/>
      <c r="T195" s="468"/>
      <c r="U195" s="261"/>
      <c r="V195" s="261"/>
      <c r="W195" s="261"/>
      <c r="X195" s="262"/>
      <c r="Y195" s="261"/>
    </row>
    <row r="196" spans="2:25" hidden="1" outlineLevel="1" x14ac:dyDescent="0.25">
      <c r="B196" s="180"/>
      <c r="C196" s="357"/>
      <c r="D196" s="358"/>
      <c r="E196" s="185">
        <f t="shared" si="14"/>
        <v>0</v>
      </c>
      <c r="F196" s="359"/>
      <c r="G196" s="349"/>
      <c r="H196" s="206"/>
      <c r="I196" s="206"/>
      <c r="J196" s="297">
        <f t="shared" si="15"/>
        <v>0</v>
      </c>
      <c r="K196" s="309"/>
      <c r="L196" s="191"/>
      <c r="M196" s="194" t="str">
        <f t="shared" si="16"/>
        <v/>
      </c>
      <c r="N196" s="193" t="str">
        <f t="shared" si="17"/>
        <v/>
      </c>
      <c r="O196" s="195" t="str">
        <f t="shared" si="18"/>
        <v/>
      </c>
      <c r="P196" s="252"/>
      <c r="Q196" s="466"/>
      <c r="R196" s="467"/>
      <c r="S196" s="467"/>
      <c r="T196" s="468"/>
      <c r="U196" s="261"/>
      <c r="V196" s="261"/>
      <c r="W196" s="261"/>
      <c r="X196" s="262"/>
      <c r="Y196" s="261"/>
    </row>
    <row r="197" spans="2:25" hidden="1" outlineLevel="1" x14ac:dyDescent="0.25">
      <c r="B197" s="180"/>
      <c r="C197" s="357"/>
      <c r="D197" s="358"/>
      <c r="E197" s="185">
        <f t="shared" si="14"/>
        <v>0</v>
      </c>
      <c r="F197" s="359"/>
      <c r="G197" s="349"/>
      <c r="H197" s="206"/>
      <c r="I197" s="206"/>
      <c r="J197" s="297">
        <f t="shared" si="15"/>
        <v>0</v>
      </c>
      <c r="K197" s="309"/>
      <c r="L197" s="191"/>
      <c r="M197" s="194" t="str">
        <f t="shared" si="16"/>
        <v/>
      </c>
      <c r="N197" s="193" t="str">
        <f t="shared" si="17"/>
        <v/>
      </c>
      <c r="O197" s="195" t="str">
        <f t="shared" si="18"/>
        <v/>
      </c>
      <c r="P197" s="252"/>
      <c r="Q197" s="466"/>
      <c r="R197" s="467"/>
      <c r="S197" s="467"/>
      <c r="T197" s="468"/>
      <c r="U197" s="261"/>
      <c r="V197" s="261"/>
      <c r="W197" s="261"/>
      <c r="X197" s="262"/>
      <c r="Y197" s="261"/>
    </row>
    <row r="198" spans="2:25" hidden="1" outlineLevel="1" x14ac:dyDescent="0.25">
      <c r="B198" s="180"/>
      <c r="C198" s="357"/>
      <c r="D198" s="358"/>
      <c r="E198" s="185">
        <f t="shared" si="14"/>
        <v>0</v>
      </c>
      <c r="F198" s="359"/>
      <c r="G198" s="349"/>
      <c r="H198" s="206"/>
      <c r="I198" s="206"/>
      <c r="J198" s="297">
        <f t="shared" si="15"/>
        <v>0</v>
      </c>
      <c r="K198" s="309"/>
      <c r="L198" s="191"/>
      <c r="M198" s="194" t="str">
        <f t="shared" si="16"/>
        <v/>
      </c>
      <c r="N198" s="193" t="str">
        <f t="shared" si="17"/>
        <v/>
      </c>
      <c r="O198" s="195" t="str">
        <f t="shared" si="18"/>
        <v/>
      </c>
      <c r="P198" s="252"/>
      <c r="Q198" s="466"/>
      <c r="R198" s="467"/>
      <c r="S198" s="467"/>
      <c r="T198" s="468"/>
      <c r="U198" s="261"/>
      <c r="V198" s="261"/>
      <c r="W198" s="261"/>
      <c r="X198" s="262"/>
      <c r="Y198" s="261"/>
    </row>
    <row r="199" spans="2:25" hidden="1" outlineLevel="1" x14ac:dyDescent="0.25">
      <c r="B199" s="180"/>
      <c r="C199" s="357"/>
      <c r="D199" s="358"/>
      <c r="E199" s="185">
        <f t="shared" si="14"/>
        <v>0</v>
      </c>
      <c r="F199" s="359"/>
      <c r="G199" s="349"/>
      <c r="H199" s="206"/>
      <c r="I199" s="206"/>
      <c r="J199" s="297">
        <f t="shared" si="15"/>
        <v>0</v>
      </c>
      <c r="K199" s="309"/>
      <c r="L199" s="191"/>
      <c r="M199" s="194" t="str">
        <f t="shared" si="16"/>
        <v/>
      </c>
      <c r="N199" s="193" t="str">
        <f t="shared" si="17"/>
        <v/>
      </c>
      <c r="O199" s="195" t="str">
        <f t="shared" si="18"/>
        <v/>
      </c>
      <c r="P199" s="252"/>
      <c r="Q199" s="466"/>
      <c r="R199" s="467"/>
      <c r="S199" s="467"/>
      <c r="T199" s="468"/>
      <c r="U199" s="261"/>
      <c r="V199" s="261"/>
      <c r="W199" s="261"/>
      <c r="X199" s="262"/>
      <c r="Y199" s="261"/>
    </row>
    <row r="200" spans="2:25" hidden="1" outlineLevel="1" x14ac:dyDescent="0.25">
      <c r="B200" s="180"/>
      <c r="C200" s="357"/>
      <c r="D200" s="358"/>
      <c r="E200" s="185">
        <f t="shared" si="14"/>
        <v>0</v>
      </c>
      <c r="F200" s="359"/>
      <c r="G200" s="349"/>
      <c r="H200" s="206"/>
      <c r="I200" s="206"/>
      <c r="J200" s="297">
        <f t="shared" si="15"/>
        <v>0</v>
      </c>
      <c r="K200" s="309"/>
      <c r="L200" s="191"/>
      <c r="M200" s="194" t="str">
        <f t="shared" si="16"/>
        <v/>
      </c>
      <c r="N200" s="193" t="str">
        <f t="shared" si="17"/>
        <v/>
      </c>
      <c r="O200" s="195" t="str">
        <f t="shared" si="18"/>
        <v/>
      </c>
      <c r="P200" s="252"/>
      <c r="Q200" s="466"/>
      <c r="R200" s="467"/>
      <c r="S200" s="467"/>
      <c r="T200" s="468"/>
      <c r="U200" s="261"/>
      <c r="V200" s="261"/>
      <c r="W200" s="261"/>
      <c r="X200" s="262"/>
      <c r="Y200" s="261"/>
    </row>
    <row r="201" spans="2:25" hidden="1" outlineLevel="1" x14ac:dyDescent="0.25">
      <c r="B201" s="180"/>
      <c r="C201" s="357"/>
      <c r="D201" s="358"/>
      <c r="E201" s="185">
        <f t="shared" si="14"/>
        <v>0</v>
      </c>
      <c r="F201" s="359"/>
      <c r="G201" s="349"/>
      <c r="H201" s="206"/>
      <c r="I201" s="206"/>
      <c r="J201" s="297">
        <f t="shared" si="15"/>
        <v>0</v>
      </c>
      <c r="K201" s="309"/>
      <c r="L201" s="191"/>
      <c r="M201" s="194" t="str">
        <f t="shared" si="16"/>
        <v/>
      </c>
      <c r="N201" s="193" t="str">
        <f t="shared" si="17"/>
        <v/>
      </c>
      <c r="O201" s="195" t="str">
        <f t="shared" si="18"/>
        <v/>
      </c>
      <c r="P201" s="252"/>
      <c r="Q201" s="466"/>
      <c r="R201" s="467"/>
      <c r="S201" s="467"/>
      <c r="T201" s="468"/>
      <c r="U201" s="261"/>
      <c r="V201" s="261"/>
      <c r="W201" s="261"/>
      <c r="X201" s="262"/>
      <c r="Y201" s="261"/>
    </row>
    <row r="202" spans="2:25" ht="15.75" hidden="1" outlineLevel="1" thickBot="1" x14ac:dyDescent="0.3">
      <c r="B202" s="180"/>
      <c r="C202" s="360"/>
      <c r="D202" s="361"/>
      <c r="E202" s="342">
        <f t="shared" si="14"/>
        <v>0</v>
      </c>
      <c r="F202" s="362"/>
      <c r="G202" s="349"/>
      <c r="H202" s="206"/>
      <c r="I202" s="206"/>
      <c r="J202" s="297">
        <f t="shared" si="15"/>
        <v>0</v>
      </c>
      <c r="K202" s="309"/>
      <c r="L202" s="191"/>
      <c r="M202" s="194" t="str">
        <f t="shared" si="16"/>
        <v/>
      </c>
      <c r="N202" s="193" t="str">
        <f t="shared" si="17"/>
        <v/>
      </c>
      <c r="O202" s="195" t="str">
        <f t="shared" si="18"/>
        <v/>
      </c>
      <c r="P202" s="252">
        <v>41045</v>
      </c>
      <c r="Q202" s="469"/>
      <c r="R202" s="470"/>
      <c r="S202" s="470"/>
      <c r="T202" s="471"/>
      <c r="U202" s="261"/>
      <c r="V202" s="261"/>
      <c r="W202" s="261"/>
      <c r="X202" s="262"/>
      <c r="Y202" s="261"/>
    </row>
    <row r="203" spans="2:25" collapsed="1" x14ac:dyDescent="0.25">
      <c r="B203" s="128"/>
      <c r="C203" s="278" t="s">
        <v>158</v>
      </c>
      <c r="D203" s="278" t="s">
        <v>159</v>
      </c>
      <c r="E203" s="278" t="s">
        <v>160</v>
      </c>
      <c r="F203" s="279"/>
      <c r="G203" s="280"/>
      <c r="H203" s="210"/>
      <c r="I203" s="211"/>
      <c r="J203" s="272"/>
      <c r="K203" s="273"/>
      <c r="L203" s="273"/>
      <c r="M203" s="281"/>
      <c r="N203" s="282"/>
      <c r="O203" s="283"/>
    </row>
    <row r="204" spans="2:25" ht="15.75" thickBot="1" x14ac:dyDescent="0.3">
      <c r="B204" s="129"/>
      <c r="C204" s="131">
        <f t="shared" ref="C204:J204" si="19">SUM(C52:C202)</f>
        <v>0</v>
      </c>
      <c r="D204" s="131">
        <f t="shared" si="19"/>
        <v>0</v>
      </c>
      <c r="E204" s="131">
        <f t="shared" si="19"/>
        <v>0</v>
      </c>
      <c r="F204" s="189">
        <f t="shared" si="19"/>
        <v>0</v>
      </c>
      <c r="G204" s="192">
        <f t="shared" si="19"/>
        <v>0</v>
      </c>
      <c r="H204" s="213">
        <f t="shared" si="19"/>
        <v>0</v>
      </c>
      <c r="I204" s="214">
        <f t="shared" si="19"/>
        <v>0</v>
      </c>
      <c r="J204" s="274">
        <f t="shared" si="19"/>
        <v>0</v>
      </c>
      <c r="K204" s="275"/>
      <c r="L204" s="275"/>
      <c r="M204" s="201" t="e">
        <f>(G204-F204)/G204</f>
        <v>#DIV/0!</v>
      </c>
      <c r="N204" s="200" t="e">
        <f>(C204+H204)/G204</f>
        <v>#DIV/0!</v>
      </c>
      <c r="O204" s="199">
        <f>SUM(O36:O202)</f>
        <v>0</v>
      </c>
    </row>
    <row r="205" spans="2:25" ht="15.75" customHeight="1" thickBot="1" x14ac:dyDescent="0.3"/>
    <row r="206" spans="2:25" ht="15.75" customHeight="1" x14ac:dyDescent="0.25">
      <c r="B206" s="124"/>
      <c r="C206" s="68"/>
      <c r="D206" s="68"/>
      <c r="E206" s="127"/>
      <c r="F206" s="68"/>
      <c r="G206" s="68"/>
      <c r="H206" s="68"/>
      <c r="I206" s="68"/>
      <c r="J206" s="125"/>
      <c r="K206" s="305"/>
      <c r="M206" s="463" t="s">
        <v>161</v>
      </c>
      <c r="N206" s="464"/>
      <c r="O206" s="464"/>
      <c r="P206" s="464"/>
      <c r="Q206" s="465"/>
    </row>
    <row r="207" spans="2:25" ht="15.75" thickBot="1" x14ac:dyDescent="0.3">
      <c r="B207" s="67" t="s">
        <v>162</v>
      </c>
      <c r="C207" s="141" t="s">
        <v>163</v>
      </c>
      <c r="D207" s="155"/>
      <c r="E207" s="141" t="s">
        <v>113</v>
      </c>
      <c r="F207" s="142" t="s">
        <v>164</v>
      </c>
      <c r="G207" s="143" t="s">
        <v>119</v>
      </c>
      <c r="H207" s="123"/>
      <c r="I207" s="123"/>
      <c r="J207" s="126"/>
      <c r="K207" s="305"/>
      <c r="M207" s="466"/>
      <c r="N207" s="467"/>
      <c r="O207" s="467"/>
      <c r="P207" s="467"/>
      <c r="Q207" s="468"/>
    </row>
    <row r="208" spans="2:25" x14ac:dyDescent="0.25">
      <c r="B208" s="72"/>
      <c r="C208" s="88"/>
      <c r="D208" s="89"/>
      <c r="E208" s="96"/>
      <c r="F208" s="72"/>
      <c r="G208" s="493"/>
      <c r="H208" s="493"/>
      <c r="I208" s="493"/>
      <c r="J208" s="494"/>
      <c r="K208" s="306"/>
      <c r="M208" s="466"/>
      <c r="N208" s="467"/>
      <c r="O208" s="467"/>
      <c r="P208" s="467"/>
      <c r="Q208" s="468"/>
    </row>
    <row r="209" spans="1:18" x14ac:dyDescent="0.25">
      <c r="B209" s="58"/>
      <c r="C209" s="59"/>
      <c r="D209" s="59"/>
      <c r="E209" s="60"/>
      <c r="F209" s="58"/>
      <c r="G209" s="482"/>
      <c r="H209" s="482"/>
      <c r="I209" s="482"/>
      <c r="J209" s="483"/>
      <c r="K209" s="306"/>
      <c r="M209" s="466"/>
      <c r="N209" s="467"/>
      <c r="O209" s="467"/>
      <c r="P209" s="467"/>
      <c r="Q209" s="468"/>
      <c r="R209" s="258"/>
    </row>
    <row r="210" spans="1:18" x14ac:dyDescent="0.25">
      <c r="B210" s="58"/>
      <c r="C210" s="59"/>
      <c r="D210" s="59"/>
      <c r="E210" s="60"/>
      <c r="F210" s="58"/>
      <c r="G210" s="482"/>
      <c r="H210" s="482"/>
      <c r="I210" s="482"/>
      <c r="J210" s="483"/>
      <c r="K210" s="306"/>
      <c r="M210" s="466"/>
      <c r="N210" s="467"/>
      <c r="O210" s="467"/>
      <c r="P210" s="467"/>
      <c r="Q210" s="468"/>
      <c r="R210" s="258"/>
    </row>
    <row r="211" spans="1:18" x14ac:dyDescent="0.25">
      <c r="B211" s="58"/>
      <c r="C211" s="59"/>
      <c r="D211" s="59"/>
      <c r="E211" s="60"/>
      <c r="F211" s="58"/>
      <c r="G211" s="482"/>
      <c r="H211" s="482"/>
      <c r="I211" s="482"/>
      <c r="J211" s="483"/>
      <c r="K211" s="306"/>
      <c r="M211" s="466"/>
      <c r="N211" s="467"/>
      <c r="O211" s="467"/>
      <c r="P211" s="467"/>
      <c r="Q211" s="468"/>
      <c r="R211" s="258"/>
    </row>
    <row r="212" spans="1:18" x14ac:dyDescent="0.25">
      <c r="B212" s="58"/>
      <c r="C212" s="59"/>
      <c r="D212" s="59"/>
      <c r="E212" s="60"/>
      <c r="F212" s="58"/>
      <c r="G212" s="482"/>
      <c r="H212" s="482"/>
      <c r="I212" s="482"/>
      <c r="J212" s="483"/>
      <c r="K212" s="306"/>
      <c r="M212" s="466"/>
      <c r="N212" s="467"/>
      <c r="O212" s="467"/>
      <c r="P212" s="467"/>
      <c r="Q212" s="468"/>
      <c r="R212" s="258"/>
    </row>
    <row r="213" spans="1:18" x14ac:dyDescent="0.25">
      <c r="B213" s="58"/>
      <c r="C213" s="59"/>
      <c r="D213" s="59"/>
      <c r="E213" s="60"/>
      <c r="F213" s="58"/>
      <c r="G213" s="482"/>
      <c r="H213" s="482"/>
      <c r="I213" s="482"/>
      <c r="J213" s="483"/>
      <c r="K213" s="306"/>
      <c r="M213" s="466"/>
      <c r="N213" s="467"/>
      <c r="O213" s="467"/>
      <c r="P213" s="467"/>
      <c r="Q213" s="468"/>
      <c r="R213" s="258"/>
    </row>
    <row r="214" spans="1:18" x14ac:dyDescent="0.25">
      <c r="B214" s="61"/>
      <c r="C214" s="62"/>
      <c r="D214" s="62"/>
      <c r="E214" s="63"/>
      <c r="F214" s="61"/>
      <c r="G214" s="482"/>
      <c r="H214" s="482"/>
      <c r="I214" s="482"/>
      <c r="J214" s="483"/>
      <c r="K214" s="306"/>
      <c r="M214" s="466"/>
      <c r="N214" s="467"/>
      <c r="O214" s="467"/>
      <c r="P214" s="467"/>
      <c r="Q214" s="468"/>
      <c r="R214" s="258"/>
    </row>
    <row r="215" spans="1:18" ht="15.75" thickBot="1" x14ac:dyDescent="0.3">
      <c r="B215" s="64"/>
      <c r="C215" s="65"/>
      <c r="D215" s="65"/>
      <c r="E215" s="66"/>
      <c r="F215" s="61"/>
      <c r="G215" s="539"/>
      <c r="H215" s="539"/>
      <c r="I215" s="539"/>
      <c r="J215" s="540"/>
      <c r="K215" s="306"/>
      <c r="M215" s="466"/>
      <c r="N215" s="467"/>
      <c r="O215" s="467"/>
      <c r="P215" s="467"/>
      <c r="Q215" s="468"/>
      <c r="R215" s="258"/>
    </row>
    <row r="216" spans="1:18" ht="15.75" thickBot="1" x14ac:dyDescent="0.3">
      <c r="C216" s="67" t="s">
        <v>78</v>
      </c>
      <c r="D216" s="242"/>
      <c r="E216" s="268">
        <f>+SUM(E208:E215)</f>
        <v>0</v>
      </c>
      <c r="F216" s="269" t="s">
        <v>165</v>
      </c>
      <c r="G216" s="541"/>
      <c r="H216" s="541"/>
      <c r="I216" s="541"/>
      <c r="J216" s="542"/>
      <c r="K216" s="307"/>
      <c r="M216" s="469"/>
      <c r="N216" s="470"/>
      <c r="O216" s="470"/>
      <c r="P216" s="470"/>
      <c r="Q216" s="471"/>
      <c r="R216" s="258"/>
    </row>
    <row r="217" spans="1:18" ht="15.75" thickBot="1" x14ac:dyDescent="0.3"/>
    <row r="218" spans="1:18" x14ac:dyDescent="0.25">
      <c r="B218" s="14" t="s">
        <v>166</v>
      </c>
      <c r="C218" s="6" t="s">
        <v>76</v>
      </c>
      <c r="D218" s="6" t="s">
        <v>77</v>
      </c>
      <c r="E218" s="15" t="s">
        <v>167</v>
      </c>
      <c r="M218" s="463" t="s">
        <v>168</v>
      </c>
      <c r="N218" s="464"/>
      <c r="O218" s="464"/>
      <c r="P218" s="464"/>
      <c r="Q218" s="465"/>
      <c r="R218" s="258"/>
    </row>
    <row r="219" spans="1:18" x14ac:dyDescent="0.25">
      <c r="A219" s="130" t="s">
        <v>123</v>
      </c>
      <c r="B219" s="16" t="s">
        <v>169</v>
      </c>
      <c r="C219" s="3">
        <f>E220</f>
        <v>10568.78</v>
      </c>
      <c r="D219" s="3">
        <f>F48</f>
        <v>0</v>
      </c>
      <c r="E219" s="17">
        <f>C219-D219</f>
        <v>10568.78</v>
      </c>
      <c r="M219" s="466"/>
      <c r="N219" s="467"/>
      <c r="O219" s="467"/>
      <c r="P219" s="467"/>
      <c r="Q219" s="468"/>
      <c r="R219" s="258"/>
    </row>
    <row r="220" spans="1:18" x14ac:dyDescent="0.25">
      <c r="A220" s="130" t="s">
        <v>159</v>
      </c>
      <c r="B220" s="16" t="s">
        <v>170</v>
      </c>
      <c r="C220" s="3">
        <f>I24</f>
        <v>10568.78</v>
      </c>
      <c r="D220" s="3">
        <f>D204-H204</f>
        <v>0</v>
      </c>
      <c r="E220" s="17">
        <f>C220-D220</f>
        <v>10568.78</v>
      </c>
      <c r="M220" s="466"/>
      <c r="N220" s="467"/>
      <c r="O220" s="467"/>
      <c r="P220" s="467"/>
      <c r="Q220" s="468"/>
      <c r="R220" s="258"/>
    </row>
    <row r="221" spans="1:18" x14ac:dyDescent="0.25">
      <c r="A221" s="130" t="s">
        <v>158</v>
      </c>
      <c r="B221" s="16" t="s">
        <v>171</v>
      </c>
      <c r="C221" s="3">
        <f>H24</f>
        <v>2096.5</v>
      </c>
      <c r="D221" s="3">
        <f>C204+H204</f>
        <v>0</v>
      </c>
      <c r="E221" s="17">
        <f>C221-D221</f>
        <v>2096.5</v>
      </c>
      <c r="M221" s="466"/>
      <c r="N221" s="467"/>
      <c r="O221" s="467"/>
      <c r="P221" s="467"/>
      <c r="Q221" s="468"/>
      <c r="R221" s="258"/>
    </row>
    <row r="222" spans="1:18" x14ac:dyDescent="0.25">
      <c r="A222" s="130" t="s">
        <v>114</v>
      </c>
      <c r="B222" s="16" t="s">
        <v>55</v>
      </c>
      <c r="C222" s="3">
        <f>D24</f>
        <v>250</v>
      </c>
      <c r="D222" s="3">
        <f>C29</f>
        <v>0</v>
      </c>
      <c r="E222" s="17">
        <f>C222-D222</f>
        <v>250</v>
      </c>
      <c r="M222" s="466"/>
      <c r="N222" s="467"/>
      <c r="O222" s="467"/>
      <c r="P222" s="467"/>
      <c r="Q222" s="468"/>
      <c r="R222" s="258"/>
    </row>
    <row r="223" spans="1:18" x14ac:dyDescent="0.25">
      <c r="A223" s="130" t="s">
        <v>115</v>
      </c>
      <c r="B223" s="16" t="s">
        <v>79</v>
      </c>
      <c r="C223" s="3">
        <f>F24</f>
        <v>1000</v>
      </c>
      <c r="D223" s="3">
        <f>E29</f>
        <v>0</v>
      </c>
      <c r="E223" s="17">
        <f>C223-D223</f>
        <v>1000</v>
      </c>
      <c r="M223" s="466"/>
      <c r="N223" s="467"/>
      <c r="O223" s="467"/>
      <c r="P223" s="467"/>
      <c r="Q223" s="468"/>
      <c r="R223" s="258"/>
    </row>
    <row r="224" spans="1:18" ht="15.75" thickBot="1" x14ac:dyDescent="0.3">
      <c r="A224" s="130" t="s">
        <v>165</v>
      </c>
      <c r="B224" s="16" t="s">
        <v>172</v>
      </c>
      <c r="C224" s="3">
        <v>0</v>
      </c>
      <c r="D224" s="69">
        <f>+E216</f>
        <v>0</v>
      </c>
      <c r="E224" s="17"/>
      <c r="M224" s="466"/>
      <c r="N224" s="467"/>
      <c r="O224" s="467"/>
      <c r="P224" s="467"/>
      <c r="Q224" s="468"/>
      <c r="R224" s="258"/>
    </row>
    <row r="225" spans="2:18" ht="15.75" thickBot="1" x14ac:dyDescent="0.3">
      <c r="B225" s="247" t="s">
        <v>78</v>
      </c>
      <c r="C225" s="248">
        <f>SUM(C220:C223)</f>
        <v>13915.28</v>
      </c>
      <c r="D225" s="248">
        <f>SUM(D219:D224)</f>
        <v>0</v>
      </c>
      <c r="E225" s="249">
        <f>E223+E222+E221+E219</f>
        <v>13915.28</v>
      </c>
      <c r="M225" s="466"/>
      <c r="N225" s="467"/>
      <c r="O225" s="467"/>
      <c r="P225" s="467"/>
      <c r="Q225" s="468"/>
      <c r="R225" s="258"/>
    </row>
    <row r="226" spans="2:18" x14ac:dyDescent="0.25">
      <c r="B226" s="28" t="s">
        <v>173</v>
      </c>
      <c r="C226" s="245"/>
      <c r="D226" s="246">
        <f>+C226*50</f>
        <v>0</v>
      </c>
      <c r="E226" s="150"/>
      <c r="G226" s="508" t="s">
        <v>174</v>
      </c>
      <c r="H226" s="509"/>
      <c r="I226" s="510"/>
      <c r="M226" s="466"/>
      <c r="N226" s="467"/>
      <c r="O226" s="467"/>
      <c r="P226" s="467"/>
      <c r="Q226" s="468"/>
      <c r="R226" s="258"/>
    </row>
    <row r="227" spans="2:18" x14ac:dyDescent="0.25">
      <c r="B227" s="28" t="s">
        <v>175</v>
      </c>
      <c r="C227" s="135"/>
      <c r="D227" s="154">
        <f>+C227*50</f>
        <v>0</v>
      </c>
      <c r="E227" s="150"/>
      <c r="G227" s="511"/>
      <c r="H227" s="512"/>
      <c r="I227" s="513"/>
      <c r="M227" s="466"/>
      <c r="N227" s="467"/>
      <c r="O227" s="467"/>
      <c r="P227" s="467"/>
      <c r="Q227" s="468"/>
      <c r="R227" s="258"/>
    </row>
    <row r="228" spans="2:18" x14ac:dyDescent="0.25">
      <c r="B228" s="16" t="s">
        <v>176</v>
      </c>
      <c r="D228" s="183">
        <f>F204</f>
        <v>0</v>
      </c>
      <c r="E228" s="151"/>
      <c r="G228" s="511"/>
      <c r="H228" s="512"/>
      <c r="I228" s="513"/>
      <c r="M228" s="466"/>
      <c r="N228" s="467"/>
      <c r="O228" s="467"/>
      <c r="P228" s="467"/>
      <c r="Q228" s="468"/>
      <c r="R228" s="258"/>
    </row>
    <row r="229" spans="2:18" ht="15.75" thickBot="1" x14ac:dyDescent="0.3">
      <c r="B229" s="16" t="s">
        <v>177</v>
      </c>
      <c r="D229" s="144"/>
      <c r="E229" s="152"/>
      <c r="G229" s="514"/>
      <c r="H229" s="515"/>
      <c r="I229" s="516"/>
      <c r="M229" s="466"/>
      <c r="N229" s="467"/>
      <c r="O229" s="467"/>
      <c r="P229" s="467"/>
      <c r="Q229" s="468"/>
      <c r="R229" s="258"/>
    </row>
    <row r="230" spans="2:18" ht="15.75" thickBot="1" x14ac:dyDescent="0.3">
      <c r="B230" s="90" t="s">
        <v>62</v>
      </c>
      <c r="C230" s="93">
        <f>J24</f>
        <v>13915.28</v>
      </c>
      <c r="D230" s="93">
        <f>D229+D225+D228+D227+D226</f>
        <v>0</v>
      </c>
      <c r="E230" s="91">
        <f>C230-D230</f>
        <v>13915.28</v>
      </c>
      <c r="M230" s="466"/>
      <c r="N230" s="467"/>
      <c r="O230" s="467"/>
      <c r="P230" s="467"/>
      <c r="Q230" s="468"/>
      <c r="R230" s="258"/>
    </row>
    <row r="231" spans="2:18" ht="15.75" thickBot="1" x14ac:dyDescent="0.3">
      <c r="B231" s="92" t="s">
        <v>178</v>
      </c>
      <c r="C231" s="94">
        <f>F4</f>
        <v>27274.5</v>
      </c>
      <c r="D231" s="95">
        <f>C231-D230</f>
        <v>27274.5</v>
      </c>
      <c r="E231" s="22">
        <f>D230/C230</f>
        <v>0</v>
      </c>
      <c r="M231" s="469"/>
      <c r="N231" s="470"/>
      <c r="O231" s="470"/>
      <c r="P231" s="470"/>
      <c r="Q231" s="471"/>
      <c r="R231" s="258"/>
    </row>
    <row r="232" spans="2:18" x14ac:dyDescent="0.25">
      <c r="D232" s="25"/>
    </row>
    <row r="233" spans="2:18" ht="23.25" x14ac:dyDescent="0.35">
      <c r="D233" s="23" t="s">
        <v>179</v>
      </c>
      <c r="E233" s="24">
        <f>(C231-(D230*1.05))/C231</f>
        <v>1</v>
      </c>
    </row>
    <row r="238" spans="2:18" x14ac:dyDescent="0.25">
      <c r="E238"/>
    </row>
    <row r="239" spans="2:18" x14ac:dyDescent="0.25">
      <c r="E239"/>
    </row>
    <row r="240" spans="2:18" x14ac:dyDescent="0.25">
      <c r="E240"/>
    </row>
    <row r="241" spans="5:5" x14ac:dyDescent="0.25">
      <c r="E241"/>
    </row>
  </sheetData>
  <protectedRanges>
    <protectedRange sqref="B208:L208" name="Bereich1"/>
    <protectedRange sqref="N214" name="Bereich1_1"/>
  </protectedRanges>
  <mergeCells count="52">
    <mergeCell ref="F26:G26"/>
    <mergeCell ref="G215:J215"/>
    <mergeCell ref="G216:J216"/>
    <mergeCell ref="G226:I229"/>
    <mergeCell ref="M50:O50"/>
    <mergeCell ref="G208:J208"/>
    <mergeCell ref="G209:J209"/>
    <mergeCell ref="G210:J210"/>
    <mergeCell ref="G211:J211"/>
    <mergeCell ref="G212:J212"/>
    <mergeCell ref="G213:J213"/>
    <mergeCell ref="G214:J214"/>
    <mergeCell ref="M218:Q231"/>
    <mergeCell ref="D45:E45"/>
    <mergeCell ref="D46:E46"/>
    <mergeCell ref="D47:E47"/>
    <mergeCell ref="B49:J49"/>
    <mergeCell ref="C50:F50"/>
    <mergeCell ref="H50:J50"/>
    <mergeCell ref="D44:E44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C12:D12"/>
    <mergeCell ref="E12:F12"/>
    <mergeCell ref="G12:H12"/>
    <mergeCell ref="J12:J13"/>
    <mergeCell ref="B2:J2"/>
    <mergeCell ref="C6:J6"/>
    <mergeCell ref="C7:J7"/>
    <mergeCell ref="C8:J8"/>
    <mergeCell ref="C9:J9"/>
    <mergeCell ref="B11:J11"/>
    <mergeCell ref="B12:B13"/>
    <mergeCell ref="M2:R15"/>
    <mergeCell ref="M17:R19"/>
    <mergeCell ref="M21:R38"/>
    <mergeCell ref="Q50:T202"/>
    <mergeCell ref="M206:Q216"/>
    <mergeCell ref="Q49:Y49"/>
    <mergeCell ref="U50:V50"/>
    <mergeCell ref="W50:Z50"/>
  </mergeCells>
  <conditionalFormatting sqref="E231">
    <cfRule type="colorScale" priority="666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E233">
    <cfRule type="cellIs" dxfId="55" priority="663" stopIfTrue="1" operator="lessThanOrEqual">
      <formula>0.2</formula>
    </cfRule>
    <cfRule type="cellIs" dxfId="54" priority="664" operator="lessThanOrEqual">
      <formula>0.28</formula>
    </cfRule>
    <cfRule type="cellIs" dxfId="53" priority="665" operator="greaterThan">
      <formula>0.28</formula>
    </cfRule>
  </conditionalFormatting>
  <conditionalFormatting sqref="F52:F202">
    <cfRule type="expression" dxfId="52" priority="655">
      <formula>$F52&gt;$G52</formula>
    </cfRule>
  </conditionalFormatting>
  <conditionalFormatting sqref="H4">
    <cfRule type="expression" dxfId="51" priority="231">
      <formula>$H$4&gt;$G$4</formula>
    </cfRule>
    <cfRule type="expression" dxfId="50" priority="232">
      <formula>$H$4&lt;=$G$4</formula>
    </cfRule>
  </conditionalFormatting>
  <conditionalFormatting sqref="I4">
    <cfRule type="colorScale" priority="230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M52:O202">
    <cfRule type="expression" dxfId="49" priority="4">
      <formula>$M52&lt;0%</formula>
    </cfRule>
    <cfRule type="expression" dxfId="48" priority="5">
      <formula>$M52=0%</formula>
    </cfRule>
    <cfRule type="expression" dxfId="47" priority="6" stopIfTrue="1">
      <formula>AND($M52=100%,$N52&gt;100%)</formula>
    </cfRule>
    <cfRule type="expression" dxfId="46" priority="7" stopIfTrue="1">
      <formula>AND($M52=100%,$N52&lt;=100%)</formula>
    </cfRule>
    <cfRule type="expression" dxfId="45" priority="8" stopIfTrue="1">
      <formula>AND($N52&gt;($M52),$M52&gt;0)</formula>
    </cfRule>
  </conditionalFormatting>
  <conditionalFormatting sqref="M204:O204">
    <cfRule type="expression" dxfId="44" priority="1" stopIfTrue="1">
      <formula>AND($M204=100%,$N204&gt;100%)</formula>
    </cfRule>
    <cfRule type="expression" dxfId="43" priority="2" stopIfTrue="1">
      <formula>AND($M204=100%,$N204&lt;=100%)</formula>
    </cfRule>
    <cfRule type="expression" dxfId="42" priority="3" stopIfTrue="1">
      <formula>$N204&gt;$M204</formula>
    </cfRule>
  </conditionalFormatting>
  <pageMargins left="0.25" right="0.25" top="0.75" bottom="0.75" header="0.3" footer="0.3"/>
  <pageSetup paperSize="9" scale="5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8B8A-F324-4D40-B953-5C4367AA3ABD}">
  <sheetPr>
    <pageSetUpPr fitToPage="1"/>
  </sheetPr>
  <dimension ref="A1:Z241"/>
  <sheetViews>
    <sheetView showGridLines="0" topLeftCell="A50" zoomScaleNormal="100" workbookViewId="0">
      <selection activeCell="D230" sqref="D230"/>
    </sheetView>
  </sheetViews>
  <sheetFormatPr baseColWidth="10" defaultColWidth="11.42578125" defaultRowHeight="15" outlineLevelRow="1" x14ac:dyDescent="0.25"/>
  <cols>
    <col min="1" max="1" width="6.42578125" customWidth="1"/>
    <col min="2" max="2" width="27" bestFit="1" customWidth="1"/>
    <col min="3" max="3" width="12.42578125" bestFit="1" customWidth="1"/>
    <col min="4" max="4" width="17.140625" bestFit="1" customWidth="1"/>
    <col min="5" max="5" width="17.42578125" style="2" bestFit="1" customWidth="1"/>
    <col min="6" max="6" width="14.140625" customWidth="1"/>
    <col min="7" max="7" width="18.140625" customWidth="1"/>
    <col min="8" max="8" width="13.140625" customWidth="1"/>
    <col min="9" max="9" width="15" customWidth="1"/>
    <col min="10" max="10" width="13" bestFit="1" customWidth="1"/>
    <col min="11" max="11" width="16.5703125" customWidth="1"/>
    <col min="12" max="12" width="48.5703125" customWidth="1"/>
    <col min="13" max="13" width="12" customWidth="1"/>
    <col min="14" max="14" width="12.85546875" customWidth="1"/>
    <col min="15" max="15" width="17.42578125" customWidth="1"/>
    <col min="17" max="18" width="12" customWidth="1"/>
    <col min="19" max="20" width="14" customWidth="1"/>
    <col min="21" max="25" width="12" customWidth="1"/>
  </cols>
  <sheetData>
    <row r="1" spans="2:18" ht="15.75" thickBot="1" x14ac:dyDescent="0.3"/>
    <row r="2" spans="2:18" s="1" customFormat="1" x14ac:dyDescent="0.25">
      <c r="B2" s="454"/>
      <c r="C2" s="455"/>
      <c r="D2" s="455"/>
      <c r="E2" s="455"/>
      <c r="F2" s="455"/>
      <c r="G2" s="455"/>
      <c r="H2" s="455"/>
      <c r="I2" s="455"/>
      <c r="J2" s="456"/>
      <c r="K2" s="298"/>
      <c r="L2" s="2"/>
      <c r="M2" s="521" t="s">
        <v>180</v>
      </c>
      <c r="N2" s="522"/>
      <c r="O2" s="522"/>
      <c r="P2" s="522"/>
      <c r="Q2" s="522"/>
      <c r="R2" s="523"/>
    </row>
    <row r="3" spans="2:18" s="2" customFormat="1" x14ac:dyDescent="0.25">
      <c r="B3" s="145" t="s">
        <v>103</v>
      </c>
      <c r="C3" s="5" t="s">
        <v>32</v>
      </c>
      <c r="D3" s="146" t="s">
        <v>10</v>
      </c>
      <c r="E3" s="146" t="s">
        <v>8</v>
      </c>
      <c r="F3" s="146" t="s">
        <v>16</v>
      </c>
      <c r="G3" s="5" t="s">
        <v>28</v>
      </c>
      <c r="H3" s="146" t="s">
        <v>104</v>
      </c>
      <c r="I3" s="146" t="s">
        <v>58</v>
      </c>
      <c r="J3" s="147" t="s">
        <v>105</v>
      </c>
      <c r="K3" s="298"/>
      <c r="L3"/>
      <c r="M3" s="524"/>
      <c r="N3" s="525"/>
      <c r="O3" s="525"/>
      <c r="P3" s="525"/>
      <c r="Q3" s="525"/>
      <c r="R3" s="526"/>
    </row>
    <row r="4" spans="2:18" ht="15.75" thickBot="1" x14ac:dyDescent="0.3">
      <c r="B4" s="8" t="str">
        <f>+Info!B7</f>
        <v>PFEIFFER BENELUX</v>
      </c>
      <c r="C4" s="9" t="str">
        <f>+Info!B15</f>
        <v>Plomer</v>
      </c>
      <c r="D4" s="10" t="str">
        <f>+Info!B6</f>
        <v>P47551</v>
      </c>
      <c r="E4" s="11" t="str">
        <f>+Info!B5</f>
        <v>B</v>
      </c>
      <c r="F4" s="11">
        <f>+Info!B9+Info!B11+Info!C11+Info!D11+Info!E11</f>
        <v>27274.5</v>
      </c>
      <c r="G4" s="12">
        <f>+Info!B13</f>
        <v>45915</v>
      </c>
      <c r="H4" s="12"/>
      <c r="I4" s="29">
        <f>(F4-(J24*1.05))/F4</f>
        <v>0.46429654072485282</v>
      </c>
      <c r="J4" s="13"/>
      <c r="K4" s="299"/>
      <c r="M4" s="524"/>
      <c r="N4" s="525"/>
      <c r="O4" s="525"/>
      <c r="P4" s="525"/>
      <c r="Q4" s="525"/>
      <c r="R4" s="526"/>
    </row>
    <row r="5" spans="2:18" ht="15.75" thickBot="1" x14ac:dyDescent="0.3">
      <c r="E5"/>
      <c r="K5" s="300"/>
      <c r="M5" s="524"/>
      <c r="N5" s="525"/>
      <c r="O5" s="525"/>
      <c r="P5" s="525"/>
      <c r="Q5" s="525"/>
      <c r="R5" s="526"/>
    </row>
    <row r="6" spans="2:18" ht="15.75" thickBot="1" x14ac:dyDescent="0.3">
      <c r="B6" s="70"/>
      <c r="C6" s="457"/>
      <c r="D6" s="458"/>
      <c r="E6" s="458"/>
      <c r="F6" s="458"/>
      <c r="G6" s="458"/>
      <c r="H6" s="458"/>
      <c r="I6" s="458"/>
      <c r="J6" s="459"/>
      <c r="K6" s="301"/>
      <c r="M6" s="524"/>
      <c r="N6" s="525"/>
      <c r="O6" s="525"/>
      <c r="P6" s="525"/>
      <c r="Q6" s="525"/>
      <c r="R6" s="526"/>
    </row>
    <row r="7" spans="2:18" ht="15.75" thickBot="1" x14ac:dyDescent="0.3">
      <c r="B7" s="43" t="s">
        <v>38</v>
      </c>
      <c r="C7" s="457" t="str">
        <f>+Info!B19</f>
        <v>TR-8880-19709</v>
      </c>
      <c r="D7" s="458"/>
      <c r="E7" s="458"/>
      <c r="F7" s="458"/>
      <c r="G7" s="458"/>
      <c r="H7" s="458"/>
      <c r="I7" s="458"/>
      <c r="J7" s="459"/>
      <c r="K7" s="301"/>
      <c r="L7" s="1"/>
      <c r="M7" s="524"/>
      <c r="N7" s="525"/>
      <c r="O7" s="525"/>
      <c r="P7" s="525"/>
      <c r="Q7" s="525"/>
      <c r="R7" s="526"/>
    </row>
    <row r="8" spans="2:18" s="1" customFormat="1" ht="15.75" thickBot="1" x14ac:dyDescent="0.3">
      <c r="B8" s="7" t="s">
        <v>40</v>
      </c>
      <c r="C8" s="457" t="str">
        <f>+Info!B20</f>
        <v>kundenspezfische Hochvakuumkammer DN600 Horizontal Länge: 900 mm</v>
      </c>
      <c r="D8" s="458"/>
      <c r="E8" s="458"/>
      <c r="F8" s="458"/>
      <c r="G8" s="458"/>
      <c r="H8" s="458"/>
      <c r="I8" s="458"/>
      <c r="J8" s="459"/>
      <c r="K8" s="301"/>
      <c r="L8"/>
      <c r="M8" s="524"/>
      <c r="N8" s="525"/>
      <c r="O8" s="525"/>
      <c r="P8" s="525"/>
      <c r="Q8" s="525"/>
      <c r="R8" s="526"/>
    </row>
    <row r="9" spans="2:18" ht="15" customHeight="1" thickBot="1" x14ac:dyDescent="0.3">
      <c r="B9" s="71" t="s">
        <v>107</v>
      </c>
      <c r="C9" s="460">
        <f>+Info!B21</f>
        <v>0</v>
      </c>
      <c r="D9" s="461"/>
      <c r="E9" s="461"/>
      <c r="F9" s="461"/>
      <c r="G9" s="461"/>
      <c r="H9" s="461"/>
      <c r="I9" s="461"/>
      <c r="J9" s="462"/>
      <c r="K9" s="301"/>
      <c r="M9" s="524"/>
      <c r="N9" s="525"/>
      <c r="O9" s="525"/>
      <c r="P9" s="525"/>
      <c r="Q9" s="525"/>
      <c r="R9" s="526"/>
    </row>
    <row r="10" spans="2:18" ht="15.75" thickBot="1" x14ac:dyDescent="0.3">
      <c r="E10"/>
      <c r="K10" s="300"/>
      <c r="M10" s="524"/>
      <c r="N10" s="525"/>
      <c r="O10" s="525"/>
      <c r="P10" s="525"/>
      <c r="Q10" s="525"/>
      <c r="R10" s="526"/>
    </row>
    <row r="11" spans="2:18" ht="15.75" thickBot="1" x14ac:dyDescent="0.3">
      <c r="B11" s="495" t="s">
        <v>108</v>
      </c>
      <c r="C11" s="532"/>
      <c r="D11" s="532"/>
      <c r="E11" s="532"/>
      <c r="F11" s="532"/>
      <c r="G11" s="532"/>
      <c r="H11" s="532"/>
      <c r="I11" s="532"/>
      <c r="J11" s="497"/>
      <c r="K11" s="302"/>
      <c r="L11" s="2"/>
      <c r="M11" s="524"/>
      <c r="N11" s="525"/>
      <c r="O11" s="525"/>
      <c r="P11" s="525"/>
      <c r="Q11" s="525"/>
      <c r="R11" s="526"/>
    </row>
    <row r="12" spans="2:18" x14ac:dyDescent="0.25">
      <c r="B12" s="533"/>
      <c r="C12" s="503" t="s">
        <v>110</v>
      </c>
      <c r="D12" s="501"/>
      <c r="E12" s="501" t="s">
        <v>111</v>
      </c>
      <c r="F12" s="501"/>
      <c r="G12" s="501" t="s">
        <v>56</v>
      </c>
      <c r="H12" s="501"/>
      <c r="I12" s="244" t="s">
        <v>57</v>
      </c>
      <c r="J12" s="530" t="s">
        <v>78</v>
      </c>
      <c r="K12" s="303"/>
      <c r="M12" s="524"/>
      <c r="N12" s="525"/>
      <c r="O12" s="525"/>
      <c r="P12" s="525"/>
      <c r="Q12" s="525"/>
      <c r="R12" s="526"/>
    </row>
    <row r="13" spans="2:18" ht="15.75" thickBot="1" x14ac:dyDescent="0.3">
      <c r="B13" s="534"/>
      <c r="C13" s="83" t="s">
        <v>112</v>
      </c>
      <c r="D13" s="20" t="s">
        <v>113</v>
      </c>
      <c r="E13" s="21" t="s">
        <v>112</v>
      </c>
      <c r="F13" s="20" t="s">
        <v>113</v>
      </c>
      <c r="G13" s="20" t="s">
        <v>112</v>
      </c>
      <c r="H13" s="20" t="s">
        <v>113</v>
      </c>
      <c r="I13" s="241" t="s">
        <v>113</v>
      </c>
      <c r="J13" s="531"/>
      <c r="K13" s="303"/>
      <c r="M13" s="524"/>
      <c r="N13" s="525"/>
      <c r="O13" s="525"/>
      <c r="P13" s="525"/>
      <c r="Q13" s="525"/>
      <c r="R13" s="526"/>
    </row>
    <row r="14" spans="2:18" x14ac:dyDescent="0.25">
      <c r="B14" s="239" t="s">
        <v>190</v>
      </c>
      <c r="C14" s="84">
        <v>5</v>
      </c>
      <c r="D14" s="350">
        <v>250</v>
      </c>
      <c r="E14" s="36">
        <v>20</v>
      </c>
      <c r="F14" s="351">
        <v>1000</v>
      </c>
      <c r="G14" s="36"/>
      <c r="H14" s="38">
        <v>2096.5</v>
      </c>
      <c r="I14" s="243">
        <v>10568.78</v>
      </c>
      <c r="J14" s="352">
        <v>13915.28</v>
      </c>
      <c r="K14" s="304"/>
      <c r="M14" s="524"/>
      <c r="N14" s="525"/>
      <c r="O14" s="525"/>
      <c r="P14" s="525"/>
      <c r="Q14" s="525"/>
      <c r="R14" s="526"/>
    </row>
    <row r="15" spans="2:18" ht="15.75" thickBot="1" x14ac:dyDescent="0.3">
      <c r="B15" s="240"/>
      <c r="C15" s="86"/>
      <c r="D15" s="350">
        <f t="shared" ref="D15:D23" si="0">C15*53</f>
        <v>0</v>
      </c>
      <c r="E15" s="34"/>
      <c r="F15" s="351">
        <f t="shared" ref="F15:F23" si="1">E15*53</f>
        <v>0</v>
      </c>
      <c r="G15" s="34"/>
      <c r="H15" s="35"/>
      <c r="I15" s="243"/>
      <c r="J15" s="353">
        <f t="shared" ref="J15:J23" si="2">+D15+F15+H15+I15</f>
        <v>0</v>
      </c>
      <c r="K15" s="304"/>
      <c r="M15" s="527"/>
      <c r="N15" s="528"/>
      <c r="O15" s="528"/>
      <c r="P15" s="528"/>
      <c r="Q15" s="528"/>
      <c r="R15" s="529"/>
    </row>
    <row r="16" spans="2:18" ht="15.75" thickBot="1" x14ac:dyDescent="0.3">
      <c r="B16" s="240"/>
      <c r="C16" s="86"/>
      <c r="D16" s="350">
        <f t="shared" si="0"/>
        <v>0</v>
      </c>
      <c r="E16" s="34"/>
      <c r="F16" s="351">
        <f t="shared" si="1"/>
        <v>0</v>
      </c>
      <c r="G16" s="34"/>
      <c r="H16" s="35"/>
      <c r="I16" s="243"/>
      <c r="J16" s="353">
        <f t="shared" si="2"/>
        <v>0</v>
      </c>
      <c r="K16" s="26"/>
      <c r="L16" s="1"/>
    </row>
    <row r="17" spans="2:18" x14ac:dyDescent="0.25">
      <c r="B17" s="240"/>
      <c r="C17" s="86"/>
      <c r="D17" s="350">
        <f t="shared" si="0"/>
        <v>0</v>
      </c>
      <c r="E17" s="34"/>
      <c r="F17" s="351">
        <f t="shared" si="1"/>
        <v>0</v>
      </c>
      <c r="G17" s="34"/>
      <c r="H17" s="35"/>
      <c r="I17" s="243"/>
      <c r="J17" s="353">
        <f t="shared" si="2"/>
        <v>0</v>
      </c>
      <c r="K17" s="26"/>
      <c r="M17" s="463" t="s">
        <v>116</v>
      </c>
      <c r="N17" s="464"/>
      <c r="O17" s="464"/>
      <c r="P17" s="464"/>
      <c r="Q17" s="464"/>
      <c r="R17" s="465"/>
    </row>
    <row r="18" spans="2:18" x14ac:dyDescent="0.25">
      <c r="B18" s="240"/>
      <c r="C18" s="86"/>
      <c r="D18" s="350">
        <f t="shared" si="0"/>
        <v>0</v>
      </c>
      <c r="E18" s="34"/>
      <c r="F18" s="351">
        <f t="shared" si="1"/>
        <v>0</v>
      </c>
      <c r="G18" s="34"/>
      <c r="H18" s="35"/>
      <c r="I18" s="243"/>
      <c r="J18" s="353">
        <f t="shared" si="2"/>
        <v>0</v>
      </c>
      <c r="K18" s="26"/>
      <c r="M18" s="466"/>
      <c r="N18" s="467"/>
      <c r="O18" s="467"/>
      <c r="P18" s="467"/>
      <c r="Q18" s="467"/>
      <c r="R18" s="468"/>
    </row>
    <row r="19" spans="2:18" ht="14.25" customHeight="1" thickBot="1" x14ac:dyDescent="0.3">
      <c r="B19" s="240"/>
      <c r="C19" s="86"/>
      <c r="D19" s="350">
        <f t="shared" si="0"/>
        <v>0</v>
      </c>
      <c r="E19" s="34"/>
      <c r="F19" s="351">
        <f t="shared" si="1"/>
        <v>0</v>
      </c>
      <c r="G19" s="34"/>
      <c r="H19" s="35"/>
      <c r="I19" s="243"/>
      <c r="J19" s="353">
        <f t="shared" si="2"/>
        <v>0</v>
      </c>
      <c r="K19" s="26"/>
      <c r="M19" s="469"/>
      <c r="N19" s="470"/>
      <c r="O19" s="470"/>
      <c r="P19" s="470"/>
      <c r="Q19" s="470"/>
      <c r="R19" s="471"/>
    </row>
    <row r="20" spans="2:18" ht="14.25" customHeight="1" thickBot="1" x14ac:dyDescent="0.3">
      <c r="B20" s="240"/>
      <c r="C20" s="86"/>
      <c r="D20" s="350">
        <f t="shared" si="0"/>
        <v>0</v>
      </c>
      <c r="E20" s="34"/>
      <c r="F20" s="351">
        <f t="shared" si="1"/>
        <v>0</v>
      </c>
      <c r="G20" s="34"/>
      <c r="H20" s="35"/>
      <c r="I20" s="243"/>
      <c r="J20" s="353">
        <f t="shared" si="2"/>
        <v>0</v>
      </c>
      <c r="K20" s="26"/>
      <c r="L20" s="2"/>
    </row>
    <row r="21" spans="2:18" x14ac:dyDescent="0.25">
      <c r="B21" s="240"/>
      <c r="C21" s="86"/>
      <c r="D21" s="350">
        <f t="shared" si="0"/>
        <v>0</v>
      </c>
      <c r="E21" s="34"/>
      <c r="F21" s="351">
        <f t="shared" si="1"/>
        <v>0</v>
      </c>
      <c r="G21" s="34"/>
      <c r="H21" s="35"/>
      <c r="I21" s="243"/>
      <c r="J21" s="353">
        <f t="shared" si="2"/>
        <v>0</v>
      </c>
      <c r="K21" s="26"/>
      <c r="M21" s="463" t="s">
        <v>118</v>
      </c>
      <c r="N21" s="464"/>
      <c r="O21" s="464"/>
      <c r="P21" s="464"/>
      <c r="Q21" s="464"/>
      <c r="R21" s="465"/>
    </row>
    <row r="22" spans="2:18" x14ac:dyDescent="0.25">
      <c r="B22" s="240"/>
      <c r="C22" s="86"/>
      <c r="D22" s="350">
        <f t="shared" si="0"/>
        <v>0</v>
      </c>
      <c r="E22" s="34"/>
      <c r="F22" s="351">
        <f t="shared" si="1"/>
        <v>0</v>
      </c>
      <c r="G22" s="34"/>
      <c r="H22" s="35"/>
      <c r="I22" s="243"/>
      <c r="J22" s="353">
        <f t="shared" si="2"/>
        <v>0</v>
      </c>
      <c r="K22" s="26"/>
      <c r="M22" s="466"/>
      <c r="N22" s="467"/>
      <c r="O22" s="467"/>
      <c r="P22" s="467"/>
      <c r="Q22" s="467"/>
      <c r="R22" s="468"/>
    </row>
    <row r="23" spans="2:18" ht="15.75" thickBot="1" x14ac:dyDescent="0.3">
      <c r="B23" s="287"/>
      <c r="C23" s="288"/>
      <c r="D23" s="350">
        <f t="shared" si="0"/>
        <v>0</v>
      </c>
      <c r="E23" s="289"/>
      <c r="F23" s="351">
        <f t="shared" si="1"/>
        <v>0</v>
      </c>
      <c r="G23" s="289"/>
      <c r="H23" s="290"/>
      <c r="I23" s="291"/>
      <c r="J23" s="354">
        <f t="shared" si="2"/>
        <v>0</v>
      </c>
      <c r="K23" s="26"/>
      <c r="M23" s="466"/>
      <c r="N23" s="467"/>
      <c r="O23" s="467"/>
      <c r="P23" s="467"/>
      <c r="Q23" s="467"/>
      <c r="R23" s="468"/>
    </row>
    <row r="24" spans="2:18" ht="15.75" thickBot="1" x14ac:dyDescent="0.3">
      <c r="B24" s="292" t="s">
        <v>78</v>
      </c>
      <c r="C24" s="293">
        <f>SUM(C14:C23)</f>
        <v>5</v>
      </c>
      <c r="D24" s="294">
        <f>SUM(D14:D23)</f>
        <v>250</v>
      </c>
      <c r="E24" s="293">
        <f t="shared" ref="E24:J24" si="3">SUM(E14:E23)</f>
        <v>20</v>
      </c>
      <c r="F24" s="294">
        <f t="shared" si="3"/>
        <v>1000</v>
      </c>
      <c r="G24" s="293">
        <f t="shared" si="3"/>
        <v>0</v>
      </c>
      <c r="H24" s="294">
        <f t="shared" si="3"/>
        <v>2096.5</v>
      </c>
      <c r="I24" s="294">
        <f t="shared" si="3"/>
        <v>10568.78</v>
      </c>
      <c r="J24" s="295">
        <f t="shared" si="3"/>
        <v>13915.28</v>
      </c>
      <c r="K24" s="308"/>
      <c r="M24" s="466"/>
      <c r="N24" s="467"/>
      <c r="O24" s="467"/>
      <c r="P24" s="467"/>
      <c r="Q24" s="467"/>
      <c r="R24" s="468"/>
    </row>
    <row r="25" spans="2:18" ht="15.75" thickBot="1" x14ac:dyDescent="0.3">
      <c r="B25" s="237"/>
      <c r="C25" s="115"/>
      <c r="D25" s="116"/>
      <c r="E25" s="117"/>
      <c r="F25" s="118"/>
      <c r="G25" s="119"/>
      <c r="M25" s="466"/>
      <c r="N25" s="467"/>
      <c r="O25" s="467"/>
      <c r="P25" s="467"/>
      <c r="Q25" s="467"/>
      <c r="R25" s="468"/>
    </row>
    <row r="26" spans="2:18" x14ac:dyDescent="0.25">
      <c r="B26" s="121" t="s">
        <v>55</v>
      </c>
      <c r="C26" s="134" t="s">
        <v>114</v>
      </c>
      <c r="D26" s="122" t="s">
        <v>79</v>
      </c>
      <c r="E26" s="134" t="s">
        <v>115</v>
      </c>
      <c r="F26" s="537" t="s">
        <v>181</v>
      </c>
      <c r="G26" s="538"/>
      <c r="M26" s="466"/>
      <c r="N26" s="467"/>
      <c r="O26" s="467"/>
      <c r="P26" s="467"/>
      <c r="Q26" s="467"/>
      <c r="R26" s="468"/>
    </row>
    <row r="27" spans="2:18" x14ac:dyDescent="0.25">
      <c r="B27" s="263"/>
      <c r="C27" s="264"/>
      <c r="D27" s="265"/>
      <c r="E27" s="264"/>
      <c r="F27" s="265"/>
      <c r="G27" s="264"/>
      <c r="I27" s="251"/>
      <c r="M27" s="466"/>
      <c r="N27" s="467"/>
      <c r="O27" s="467"/>
      <c r="P27" s="467"/>
      <c r="Q27" s="467"/>
      <c r="R27" s="468"/>
    </row>
    <row r="28" spans="2:18" ht="14.45" customHeight="1" thickBot="1" x14ac:dyDescent="0.3">
      <c r="B28" s="42" t="s">
        <v>112</v>
      </c>
      <c r="C28" s="133" t="s">
        <v>113</v>
      </c>
      <c r="D28" s="100" t="s">
        <v>112</v>
      </c>
      <c r="E28" s="133" t="s">
        <v>113</v>
      </c>
      <c r="F28" s="100" t="s">
        <v>112</v>
      </c>
      <c r="G28" s="133" t="s">
        <v>113</v>
      </c>
      <c r="I28" s="251"/>
      <c r="M28" s="466"/>
      <c r="N28" s="467"/>
      <c r="O28" s="467"/>
      <c r="P28" s="467"/>
      <c r="Q28" s="467"/>
      <c r="R28" s="468"/>
    </row>
    <row r="29" spans="2:18" ht="15.75" thickBot="1" x14ac:dyDescent="0.3">
      <c r="B29" s="296"/>
      <c r="C29" s="95">
        <f>B29*53</f>
        <v>0</v>
      </c>
      <c r="D29" s="296"/>
      <c r="E29" s="108">
        <f>D29*53</f>
        <v>0</v>
      </c>
      <c r="F29" s="296"/>
      <c r="G29" s="108">
        <f>F29*53</f>
        <v>0</v>
      </c>
      <c r="M29" s="466"/>
      <c r="N29" s="467"/>
      <c r="O29" s="467"/>
      <c r="P29" s="467"/>
      <c r="Q29" s="467"/>
      <c r="R29" s="468"/>
    </row>
    <row r="30" spans="2:18" ht="15.75" thickBot="1" x14ac:dyDescent="0.3">
      <c r="B30" s="238"/>
      <c r="C30" s="102"/>
      <c r="D30" s="103"/>
      <c r="E30" s="102"/>
      <c r="F30" s="103"/>
      <c r="G30" s="102"/>
      <c r="M30" s="466"/>
      <c r="N30" s="467"/>
      <c r="O30" s="467"/>
      <c r="P30" s="467"/>
      <c r="Q30" s="467"/>
      <c r="R30" s="468"/>
    </row>
    <row r="31" spans="2:18" x14ac:dyDescent="0.25">
      <c r="B31" s="218" t="s">
        <v>117</v>
      </c>
      <c r="C31" s="219"/>
      <c r="D31" s="478"/>
      <c r="E31" s="479"/>
      <c r="F31" s="109"/>
      <c r="G31" s="110"/>
      <c r="M31" s="466"/>
      <c r="N31" s="467"/>
      <c r="O31" s="467"/>
      <c r="P31" s="467"/>
      <c r="Q31" s="467"/>
      <c r="R31" s="468"/>
    </row>
    <row r="32" spans="2:18" ht="15.75" thickBot="1" x14ac:dyDescent="0.3">
      <c r="B32" s="221" t="s">
        <v>119</v>
      </c>
      <c r="C32" s="99" t="s">
        <v>120</v>
      </c>
      <c r="D32" s="517" t="s">
        <v>43</v>
      </c>
      <c r="E32" s="518"/>
      <c r="F32" s="222" t="s">
        <v>121</v>
      </c>
      <c r="G32" s="227" t="s">
        <v>122</v>
      </c>
      <c r="H32" s="251"/>
      <c r="M32" s="466"/>
      <c r="N32" s="467"/>
      <c r="O32" s="467"/>
      <c r="P32" s="467"/>
      <c r="Q32" s="467"/>
      <c r="R32" s="468"/>
    </row>
    <row r="33" spans="2:18" x14ac:dyDescent="0.25">
      <c r="B33" s="253"/>
      <c r="C33" s="254"/>
      <c r="D33" s="535"/>
      <c r="E33" s="536"/>
      <c r="F33" s="334"/>
      <c r="G33" s="255"/>
      <c r="H33" s="251"/>
      <c r="M33" s="466"/>
      <c r="N33" s="467"/>
      <c r="O33" s="467"/>
      <c r="P33" s="467"/>
      <c r="Q33" s="467"/>
      <c r="R33" s="468"/>
    </row>
    <row r="34" spans="2:18" x14ac:dyDescent="0.25">
      <c r="B34" s="223"/>
      <c r="C34" s="39"/>
      <c r="D34" s="480"/>
      <c r="E34" s="481"/>
      <c r="F34" s="226"/>
      <c r="G34" s="256"/>
      <c r="H34" s="251"/>
      <c r="M34" s="466"/>
      <c r="N34" s="467"/>
      <c r="O34" s="467"/>
      <c r="P34" s="467"/>
      <c r="Q34" s="467"/>
      <c r="R34" s="468"/>
    </row>
    <row r="35" spans="2:18" x14ac:dyDescent="0.25">
      <c r="B35" s="223"/>
      <c r="C35" s="39"/>
      <c r="D35" s="480"/>
      <c r="E35" s="481"/>
      <c r="F35" s="226"/>
      <c r="G35" s="256"/>
      <c r="H35" s="251"/>
      <c r="M35" s="466"/>
      <c r="N35" s="467"/>
      <c r="O35" s="467"/>
      <c r="P35" s="467"/>
      <c r="Q35" s="467"/>
      <c r="R35" s="468"/>
    </row>
    <row r="36" spans="2:18" x14ac:dyDescent="0.25">
      <c r="B36" s="223"/>
      <c r="C36" s="257"/>
      <c r="D36" s="480"/>
      <c r="E36" s="481"/>
      <c r="F36" s="226"/>
      <c r="G36" s="256"/>
      <c r="H36" s="251"/>
      <c r="M36" s="466"/>
      <c r="N36" s="467"/>
      <c r="O36" s="467"/>
      <c r="P36" s="467"/>
      <c r="Q36" s="467"/>
      <c r="R36" s="468"/>
    </row>
    <row r="37" spans="2:18" x14ac:dyDescent="0.25">
      <c r="B37" s="223"/>
      <c r="C37" s="39"/>
      <c r="D37" s="480"/>
      <c r="E37" s="481"/>
      <c r="F37" s="226"/>
      <c r="G37" s="256"/>
      <c r="H37" s="251"/>
      <c r="M37" s="466"/>
      <c r="N37" s="467"/>
      <c r="O37" s="467"/>
      <c r="P37" s="467"/>
      <c r="Q37" s="467"/>
      <c r="R37" s="468"/>
    </row>
    <row r="38" spans="2:18" ht="15.75" thickBot="1" x14ac:dyDescent="0.3">
      <c r="B38" s="223"/>
      <c r="C38" s="39"/>
      <c r="D38" s="480"/>
      <c r="E38" s="481"/>
      <c r="F38" s="226"/>
      <c r="G38" s="256"/>
      <c r="H38" s="251"/>
      <c r="M38" s="469"/>
      <c r="N38" s="470"/>
      <c r="O38" s="470"/>
      <c r="P38" s="470"/>
      <c r="Q38" s="470"/>
      <c r="R38" s="471"/>
    </row>
    <row r="39" spans="2:18" x14ac:dyDescent="0.25">
      <c r="B39" s="223"/>
      <c r="C39" s="39"/>
      <c r="D39" s="480"/>
      <c r="E39" s="481"/>
      <c r="F39" s="226"/>
      <c r="G39" s="256"/>
      <c r="H39" s="251"/>
    </row>
    <row r="40" spans="2:18" x14ac:dyDescent="0.25">
      <c r="B40" s="223"/>
      <c r="C40" s="257"/>
      <c r="D40" s="480"/>
      <c r="E40" s="481"/>
      <c r="F40" s="226"/>
      <c r="G40" s="256"/>
      <c r="H40" s="251"/>
    </row>
    <row r="41" spans="2:18" x14ac:dyDescent="0.25">
      <c r="B41" s="223"/>
      <c r="C41" s="39"/>
      <c r="D41" s="480"/>
      <c r="E41" s="481"/>
      <c r="F41" s="226"/>
      <c r="G41" s="256"/>
      <c r="H41" s="251"/>
    </row>
    <row r="42" spans="2:18" x14ac:dyDescent="0.25">
      <c r="B42" s="223"/>
      <c r="C42" s="39"/>
      <c r="D42" s="480"/>
      <c r="E42" s="481"/>
      <c r="F42" s="226"/>
      <c r="G42" s="158"/>
      <c r="I42" s="251"/>
    </row>
    <row r="43" spans="2:18" x14ac:dyDescent="0.25">
      <c r="B43" s="223"/>
      <c r="C43" s="39"/>
      <c r="D43" s="480"/>
      <c r="E43" s="481"/>
      <c r="F43" s="226"/>
      <c r="G43" s="158"/>
      <c r="I43" s="251"/>
    </row>
    <row r="44" spans="2:18" x14ac:dyDescent="0.25">
      <c r="B44" s="223"/>
      <c r="C44" s="39"/>
      <c r="D44" s="480"/>
      <c r="E44" s="481"/>
      <c r="F44" s="226"/>
      <c r="G44" s="158"/>
      <c r="I44" s="251"/>
    </row>
    <row r="45" spans="2:18" x14ac:dyDescent="0.25">
      <c r="B45" s="223"/>
      <c r="C45" s="39"/>
      <c r="D45" s="480"/>
      <c r="E45" s="481"/>
      <c r="F45" s="226"/>
      <c r="G45" s="158"/>
    </row>
    <row r="46" spans="2:18" x14ac:dyDescent="0.25">
      <c r="B46" s="223"/>
      <c r="C46" s="39"/>
      <c r="D46" s="480"/>
      <c r="E46" s="481"/>
      <c r="F46" s="226"/>
      <c r="G46" s="158"/>
    </row>
    <row r="47" spans="2:18" ht="15.75" thickBot="1" x14ac:dyDescent="0.3">
      <c r="B47" s="355"/>
      <c r="C47" s="231"/>
      <c r="D47" s="506"/>
      <c r="E47" s="507"/>
      <c r="F47" s="232"/>
      <c r="G47" s="233"/>
    </row>
    <row r="48" spans="2:18" ht="15.75" thickBot="1" x14ac:dyDescent="0.3">
      <c r="B48" s="120" t="s">
        <v>78</v>
      </c>
      <c r="C48" s="97"/>
      <c r="D48" s="97"/>
      <c r="E48" s="98"/>
      <c r="F48" s="132">
        <f>SUM(F33:F47)</f>
        <v>0</v>
      </c>
      <c r="G48" s="224" t="s">
        <v>123</v>
      </c>
      <c r="L48" s="2"/>
    </row>
    <row r="49" spans="2:26" ht="15.75" thickBot="1" x14ac:dyDescent="0.3">
      <c r="B49" s="491"/>
      <c r="C49" s="491"/>
      <c r="D49" s="491"/>
      <c r="E49" s="491"/>
      <c r="F49" s="491"/>
      <c r="G49" s="491"/>
      <c r="H49" s="492"/>
      <c r="I49" s="492"/>
      <c r="J49" s="492"/>
      <c r="K49" s="1"/>
      <c r="L49" s="1"/>
      <c r="Q49" s="431"/>
      <c r="R49" s="431"/>
      <c r="S49" s="431"/>
      <c r="T49" s="431"/>
      <c r="U49" s="431"/>
      <c r="V49" s="431"/>
      <c r="W49" s="431"/>
      <c r="X49" s="431"/>
      <c r="Y49" s="431"/>
    </row>
    <row r="50" spans="2:26" ht="15.75" thickBot="1" x14ac:dyDescent="0.3">
      <c r="B50" s="266" t="s">
        <v>124</v>
      </c>
      <c r="C50" s="476" t="s">
        <v>125</v>
      </c>
      <c r="D50" s="477"/>
      <c r="E50" s="477"/>
      <c r="F50" s="477"/>
      <c r="G50" s="190" t="s">
        <v>182</v>
      </c>
      <c r="H50" s="487" t="s">
        <v>127</v>
      </c>
      <c r="I50" s="488"/>
      <c r="J50" s="489"/>
      <c r="K50" s="187"/>
      <c r="L50" s="187"/>
      <c r="M50" s="543" t="s">
        <v>128</v>
      </c>
      <c r="N50" s="544"/>
      <c r="O50" s="545"/>
      <c r="Q50" s="463" t="s">
        <v>129</v>
      </c>
      <c r="R50" s="464"/>
      <c r="S50" s="464"/>
      <c r="T50" s="465"/>
      <c r="U50" s="431"/>
      <c r="V50" s="431"/>
      <c r="W50" s="431"/>
      <c r="X50" s="431"/>
      <c r="Y50" s="431"/>
      <c r="Z50" s="431"/>
    </row>
    <row r="51" spans="2:26" ht="14.45" customHeight="1" thickBot="1" x14ac:dyDescent="0.3">
      <c r="B51" s="113" t="s">
        <v>130</v>
      </c>
      <c r="C51" s="182" t="s">
        <v>131</v>
      </c>
      <c r="D51" s="267" t="s">
        <v>57</v>
      </c>
      <c r="E51" s="112" t="s">
        <v>132</v>
      </c>
      <c r="F51" s="112" t="s">
        <v>133</v>
      </c>
      <c r="G51" s="187" t="s">
        <v>131</v>
      </c>
      <c r="H51" s="207" t="s">
        <v>131</v>
      </c>
      <c r="I51" s="208" t="s">
        <v>57</v>
      </c>
      <c r="J51" s="209" t="s">
        <v>132</v>
      </c>
      <c r="K51" s="187" t="s">
        <v>2</v>
      </c>
      <c r="L51" s="187" t="s">
        <v>183</v>
      </c>
      <c r="M51" s="284" t="s">
        <v>135</v>
      </c>
      <c r="N51" s="285" t="s">
        <v>136</v>
      </c>
      <c r="O51" s="286" t="s">
        <v>137</v>
      </c>
      <c r="Q51" s="466"/>
      <c r="R51" s="467"/>
      <c r="S51" s="467"/>
      <c r="T51" s="468"/>
    </row>
    <row r="52" spans="2:26" ht="15.75" hidden="1" outlineLevel="1" thickBot="1" x14ac:dyDescent="0.3">
      <c r="B52" s="180"/>
      <c r="C52" s="346"/>
      <c r="D52" s="347"/>
      <c r="E52" s="184">
        <f>C52+D52</f>
        <v>0</v>
      </c>
      <c r="F52" s="348"/>
      <c r="G52" s="349"/>
      <c r="H52" s="206"/>
      <c r="I52" s="206"/>
      <c r="J52" s="297">
        <f>H52+I52</f>
        <v>0</v>
      </c>
      <c r="K52" s="309"/>
      <c r="L52" s="191"/>
      <c r="M52" s="194" t="str">
        <f>IF(AND(G52&gt;0,OR(C52&gt;0,F52&gt;0,H52&gt;0)),(G52-F52)/G52,"")</f>
        <v/>
      </c>
      <c r="N52" s="193" t="str">
        <f>IF(G52&gt;0,(IF(C52&gt;0,C52,H52))/G52,"")</f>
        <v/>
      </c>
      <c r="O52" s="195" t="str">
        <f>IF(M52=100%,G52-(IF(C52&gt;0,C52,H52)),"")</f>
        <v/>
      </c>
      <c r="P52" s="252">
        <v>40866</v>
      </c>
      <c r="Q52" s="466"/>
      <c r="R52" s="467"/>
      <c r="S52" s="467"/>
      <c r="T52" s="468"/>
      <c r="U52" s="261"/>
      <c r="V52" s="261"/>
      <c r="W52" s="261"/>
      <c r="X52" s="262"/>
      <c r="Y52" s="261"/>
    </row>
    <row r="53" spans="2:26" ht="15.75" hidden="1" outlineLevel="1" thickBot="1" x14ac:dyDescent="0.3">
      <c r="B53" s="180"/>
      <c r="C53" s="357"/>
      <c r="D53" s="358"/>
      <c r="E53" s="185">
        <f t="shared" ref="E53:E116" si="4">C53+D53</f>
        <v>0</v>
      </c>
      <c r="F53" s="359"/>
      <c r="G53" s="349"/>
      <c r="H53" s="206"/>
      <c r="I53" s="206"/>
      <c r="J53" s="297">
        <f t="shared" ref="J53:J116" si="5">H53+I53</f>
        <v>0</v>
      </c>
      <c r="K53" s="309"/>
      <c r="L53" s="191"/>
      <c r="M53" s="194" t="str">
        <f t="shared" ref="M53:M116" si="6">IF(AND(G53&gt;0,OR(C53&gt;0,F53&gt;0,H53&gt;0)),(G53-F53)/G53,"")</f>
        <v/>
      </c>
      <c r="N53" s="193" t="str">
        <f t="shared" ref="N53:N116" si="7">IF(G53&gt;0,(IF(C53&gt;0,C53,H53))/G53,"")</f>
        <v/>
      </c>
      <c r="O53" s="195" t="str">
        <f t="shared" ref="O53:O116" si="8">IF(M53=100%,G53-(IF(C53&gt;0,C53,H53)),"")</f>
        <v/>
      </c>
      <c r="P53" s="252">
        <v>40867</v>
      </c>
      <c r="Q53" s="466"/>
      <c r="R53" s="467"/>
      <c r="S53" s="467"/>
      <c r="T53" s="468"/>
      <c r="U53" s="261"/>
      <c r="V53" s="261"/>
      <c r="W53" s="261"/>
      <c r="X53" s="262"/>
      <c r="Y53" s="261"/>
    </row>
    <row r="54" spans="2:26" ht="15.75" hidden="1" outlineLevel="1" thickBot="1" x14ac:dyDescent="0.3">
      <c r="B54" s="180"/>
      <c r="C54" s="357"/>
      <c r="D54" s="358"/>
      <c r="E54" s="185">
        <f t="shared" si="4"/>
        <v>0</v>
      </c>
      <c r="F54" s="359"/>
      <c r="G54" s="349"/>
      <c r="H54" s="206"/>
      <c r="I54" s="206"/>
      <c r="J54" s="297">
        <f t="shared" si="5"/>
        <v>0</v>
      </c>
      <c r="K54" s="309"/>
      <c r="L54" s="191"/>
      <c r="M54" s="194" t="str">
        <f t="shared" si="6"/>
        <v/>
      </c>
      <c r="N54" s="193" t="str">
        <f t="shared" si="7"/>
        <v/>
      </c>
      <c r="O54" s="195" t="str">
        <f t="shared" si="8"/>
        <v/>
      </c>
      <c r="P54" s="252">
        <v>40868</v>
      </c>
      <c r="Q54" s="466"/>
      <c r="R54" s="467"/>
      <c r="S54" s="467"/>
      <c r="T54" s="468"/>
      <c r="U54" s="261"/>
      <c r="V54" s="261"/>
      <c r="W54" s="261"/>
      <c r="X54" s="262"/>
      <c r="Y54" s="261"/>
    </row>
    <row r="55" spans="2:26" ht="15.75" hidden="1" outlineLevel="1" thickBot="1" x14ac:dyDescent="0.3">
      <c r="B55" s="180"/>
      <c r="C55" s="357"/>
      <c r="D55" s="358"/>
      <c r="E55" s="185">
        <f t="shared" si="4"/>
        <v>0</v>
      </c>
      <c r="F55" s="359"/>
      <c r="G55" s="349"/>
      <c r="H55" s="206"/>
      <c r="I55" s="206"/>
      <c r="J55" s="297">
        <f t="shared" si="5"/>
        <v>0</v>
      </c>
      <c r="K55" s="309"/>
      <c r="L55" s="191"/>
      <c r="M55" s="194" t="str">
        <f t="shared" si="6"/>
        <v/>
      </c>
      <c r="N55" s="193" t="str">
        <f t="shared" si="7"/>
        <v/>
      </c>
      <c r="O55" s="195" t="str">
        <f t="shared" si="8"/>
        <v/>
      </c>
      <c r="P55" s="252">
        <v>40869</v>
      </c>
      <c r="Q55" s="466"/>
      <c r="R55" s="467"/>
      <c r="S55" s="467"/>
      <c r="T55" s="468"/>
      <c r="U55" s="261"/>
      <c r="V55" s="261"/>
      <c r="W55" s="261"/>
      <c r="X55" s="262"/>
      <c r="Y55" s="261"/>
    </row>
    <row r="56" spans="2:26" ht="15.75" hidden="1" outlineLevel="1" thickBot="1" x14ac:dyDescent="0.3">
      <c r="B56" s="180"/>
      <c r="C56" s="357"/>
      <c r="D56" s="358"/>
      <c r="E56" s="185">
        <f t="shared" si="4"/>
        <v>0</v>
      </c>
      <c r="F56" s="359"/>
      <c r="G56" s="349"/>
      <c r="H56" s="206"/>
      <c r="I56" s="206"/>
      <c r="J56" s="297">
        <f t="shared" si="5"/>
        <v>0</v>
      </c>
      <c r="K56" s="309"/>
      <c r="L56" s="191"/>
      <c r="M56" s="194" t="str">
        <f t="shared" si="6"/>
        <v/>
      </c>
      <c r="N56" s="193" t="str">
        <f t="shared" si="7"/>
        <v/>
      </c>
      <c r="O56" s="195" t="str">
        <f t="shared" si="8"/>
        <v/>
      </c>
      <c r="P56" s="252">
        <v>40870</v>
      </c>
      <c r="Q56" s="466"/>
      <c r="R56" s="467"/>
      <c r="S56" s="467"/>
      <c r="T56" s="468"/>
      <c r="U56" s="261"/>
      <c r="V56" s="261"/>
      <c r="W56" s="261"/>
      <c r="X56" s="262"/>
      <c r="Y56" s="261"/>
    </row>
    <row r="57" spans="2:26" ht="15.75" hidden="1" outlineLevel="1" thickBot="1" x14ac:dyDescent="0.3">
      <c r="B57" s="180"/>
      <c r="C57" s="357"/>
      <c r="D57" s="358"/>
      <c r="E57" s="185">
        <f t="shared" si="4"/>
        <v>0</v>
      </c>
      <c r="F57" s="359"/>
      <c r="G57" s="349"/>
      <c r="H57" s="206"/>
      <c r="I57" s="206"/>
      <c r="J57" s="297">
        <f t="shared" si="5"/>
        <v>0</v>
      </c>
      <c r="K57" s="309"/>
      <c r="L57" s="191"/>
      <c r="M57" s="194" t="str">
        <f t="shared" si="6"/>
        <v/>
      </c>
      <c r="N57" s="193" t="str">
        <f t="shared" si="7"/>
        <v/>
      </c>
      <c r="O57" s="195" t="str">
        <f t="shared" si="8"/>
        <v/>
      </c>
      <c r="P57" s="252">
        <v>40871</v>
      </c>
      <c r="Q57" s="466"/>
      <c r="R57" s="467"/>
      <c r="S57" s="467"/>
      <c r="T57" s="468"/>
      <c r="U57" s="261"/>
      <c r="V57" s="261"/>
      <c r="W57" s="261"/>
      <c r="X57" s="262"/>
      <c r="Y57" s="261"/>
    </row>
    <row r="58" spans="2:26" ht="15.75" hidden="1" outlineLevel="1" thickBot="1" x14ac:dyDescent="0.3">
      <c r="B58" s="180"/>
      <c r="C58" s="357"/>
      <c r="D58" s="358"/>
      <c r="E58" s="185">
        <f t="shared" si="4"/>
        <v>0</v>
      </c>
      <c r="F58" s="359"/>
      <c r="G58" s="349"/>
      <c r="H58" s="206"/>
      <c r="I58" s="206"/>
      <c r="J58" s="297">
        <f t="shared" si="5"/>
        <v>0</v>
      </c>
      <c r="K58" s="309"/>
      <c r="L58" s="191"/>
      <c r="M58" s="194" t="str">
        <f t="shared" si="6"/>
        <v/>
      </c>
      <c r="N58" s="193" t="str">
        <f t="shared" si="7"/>
        <v/>
      </c>
      <c r="O58" s="195" t="str">
        <f t="shared" si="8"/>
        <v/>
      </c>
      <c r="P58" s="252">
        <v>40872</v>
      </c>
      <c r="Q58" s="466"/>
      <c r="R58" s="467"/>
      <c r="S58" s="467"/>
      <c r="T58" s="468"/>
      <c r="U58" s="261"/>
      <c r="V58" s="261"/>
      <c r="W58" s="261"/>
      <c r="X58" s="262"/>
      <c r="Y58" s="261"/>
    </row>
    <row r="59" spans="2:26" ht="15.75" hidden="1" outlineLevel="1" thickBot="1" x14ac:dyDescent="0.3">
      <c r="B59" s="180"/>
      <c r="C59" s="357"/>
      <c r="D59" s="358"/>
      <c r="E59" s="185">
        <f t="shared" si="4"/>
        <v>0</v>
      </c>
      <c r="F59" s="359"/>
      <c r="G59" s="349"/>
      <c r="H59" s="206"/>
      <c r="I59" s="206"/>
      <c r="J59" s="297">
        <f t="shared" si="5"/>
        <v>0</v>
      </c>
      <c r="K59" s="309"/>
      <c r="L59" s="191"/>
      <c r="M59" s="194" t="str">
        <f t="shared" si="6"/>
        <v/>
      </c>
      <c r="N59" s="193" t="str">
        <f t="shared" si="7"/>
        <v/>
      </c>
      <c r="O59" s="195" t="str">
        <f t="shared" si="8"/>
        <v/>
      </c>
      <c r="P59" s="252">
        <v>40882</v>
      </c>
      <c r="Q59" s="466"/>
      <c r="R59" s="467"/>
      <c r="S59" s="467"/>
      <c r="T59" s="468"/>
      <c r="U59" s="261"/>
      <c r="V59" s="261"/>
      <c r="W59" s="261"/>
      <c r="X59" s="262"/>
      <c r="Y59" s="261"/>
    </row>
    <row r="60" spans="2:26" ht="15.75" hidden="1" outlineLevel="1" thickBot="1" x14ac:dyDescent="0.3">
      <c r="B60" s="180"/>
      <c r="C60" s="357"/>
      <c r="D60" s="358"/>
      <c r="E60" s="185">
        <f t="shared" si="4"/>
        <v>0</v>
      </c>
      <c r="F60" s="359"/>
      <c r="G60" s="349"/>
      <c r="H60" s="206"/>
      <c r="I60" s="206"/>
      <c r="J60" s="297">
        <f t="shared" si="5"/>
        <v>0</v>
      </c>
      <c r="K60" s="309"/>
      <c r="L60" s="191"/>
      <c r="M60" s="194" t="str">
        <f t="shared" si="6"/>
        <v/>
      </c>
      <c r="N60" s="193" t="str">
        <f t="shared" si="7"/>
        <v/>
      </c>
      <c r="O60" s="195" t="str">
        <f t="shared" si="8"/>
        <v/>
      </c>
      <c r="P60" s="252">
        <v>41044</v>
      </c>
      <c r="Q60" s="466"/>
      <c r="R60" s="467"/>
      <c r="S60" s="467"/>
      <c r="T60" s="468"/>
      <c r="U60" s="261"/>
      <c r="V60" s="261"/>
      <c r="W60" s="261"/>
      <c r="X60" s="262"/>
      <c r="Y60" s="261"/>
    </row>
    <row r="61" spans="2:26" ht="15.75" hidden="1" outlineLevel="1" thickBot="1" x14ac:dyDescent="0.3">
      <c r="B61" s="180"/>
      <c r="C61" s="357"/>
      <c r="D61" s="358"/>
      <c r="E61" s="185">
        <f t="shared" si="4"/>
        <v>0</v>
      </c>
      <c r="F61" s="359"/>
      <c r="G61" s="349"/>
      <c r="H61" s="206"/>
      <c r="I61" s="206"/>
      <c r="J61" s="297">
        <f t="shared" si="5"/>
        <v>0</v>
      </c>
      <c r="K61" s="309"/>
      <c r="L61" s="191"/>
      <c r="M61" s="194" t="str">
        <f t="shared" si="6"/>
        <v/>
      </c>
      <c r="N61" s="193" t="str">
        <f t="shared" si="7"/>
        <v/>
      </c>
      <c r="O61" s="195" t="str">
        <f t="shared" si="8"/>
        <v/>
      </c>
      <c r="P61" s="252"/>
      <c r="Q61" s="466"/>
      <c r="R61" s="467"/>
      <c r="S61" s="467"/>
      <c r="T61" s="468"/>
      <c r="U61" s="261"/>
      <c r="V61" s="261"/>
      <c r="W61" s="261"/>
      <c r="X61" s="262"/>
      <c r="Y61" s="261"/>
    </row>
    <row r="62" spans="2:26" ht="15.75" hidden="1" outlineLevel="1" thickBot="1" x14ac:dyDescent="0.3">
      <c r="B62" s="180"/>
      <c r="C62" s="357"/>
      <c r="D62" s="358"/>
      <c r="E62" s="185">
        <f t="shared" si="4"/>
        <v>0</v>
      </c>
      <c r="F62" s="359"/>
      <c r="G62" s="349"/>
      <c r="H62" s="206"/>
      <c r="I62" s="206"/>
      <c r="J62" s="297">
        <f t="shared" si="5"/>
        <v>0</v>
      </c>
      <c r="K62" s="309"/>
      <c r="L62" s="191"/>
      <c r="M62" s="194" t="str">
        <f t="shared" si="6"/>
        <v/>
      </c>
      <c r="N62" s="193" t="str">
        <f t="shared" si="7"/>
        <v/>
      </c>
      <c r="O62" s="195" t="str">
        <f t="shared" si="8"/>
        <v/>
      </c>
      <c r="P62" s="252"/>
      <c r="Q62" s="466"/>
      <c r="R62" s="467"/>
      <c r="S62" s="467"/>
      <c r="T62" s="468"/>
      <c r="U62" s="261"/>
      <c r="V62" s="261"/>
      <c r="W62" s="261"/>
      <c r="X62" s="262"/>
      <c r="Y62" s="261"/>
    </row>
    <row r="63" spans="2:26" ht="15.75" hidden="1" outlineLevel="1" thickBot="1" x14ac:dyDescent="0.3">
      <c r="B63" s="180"/>
      <c r="C63" s="357"/>
      <c r="D63" s="358"/>
      <c r="E63" s="185">
        <f t="shared" si="4"/>
        <v>0</v>
      </c>
      <c r="F63" s="359"/>
      <c r="G63" s="349"/>
      <c r="H63" s="206"/>
      <c r="I63" s="206"/>
      <c r="J63" s="297">
        <f t="shared" si="5"/>
        <v>0</v>
      </c>
      <c r="K63" s="309"/>
      <c r="L63" s="191"/>
      <c r="M63" s="194" t="str">
        <f t="shared" si="6"/>
        <v/>
      </c>
      <c r="N63" s="193" t="str">
        <f t="shared" si="7"/>
        <v/>
      </c>
      <c r="O63" s="195" t="str">
        <f t="shared" si="8"/>
        <v/>
      </c>
      <c r="P63" s="252"/>
      <c r="Q63" s="466"/>
      <c r="R63" s="467"/>
      <c r="S63" s="467"/>
      <c r="T63" s="468"/>
      <c r="U63" s="261"/>
      <c r="V63" s="261"/>
      <c r="W63" s="261"/>
      <c r="X63" s="262"/>
      <c r="Y63" s="261"/>
    </row>
    <row r="64" spans="2:26" ht="15.75" hidden="1" outlineLevel="1" thickBot="1" x14ac:dyDescent="0.3">
      <c r="B64" s="180"/>
      <c r="C64" s="357"/>
      <c r="D64" s="358"/>
      <c r="E64" s="185">
        <f t="shared" si="4"/>
        <v>0</v>
      </c>
      <c r="F64" s="359"/>
      <c r="G64" s="349"/>
      <c r="H64" s="206"/>
      <c r="I64" s="206"/>
      <c r="J64" s="297">
        <f t="shared" si="5"/>
        <v>0</v>
      </c>
      <c r="K64" s="309"/>
      <c r="L64" s="191"/>
      <c r="M64" s="194" t="str">
        <f t="shared" si="6"/>
        <v/>
      </c>
      <c r="N64" s="193" t="str">
        <f t="shared" si="7"/>
        <v/>
      </c>
      <c r="O64" s="195" t="str">
        <f t="shared" si="8"/>
        <v/>
      </c>
      <c r="P64" s="252"/>
      <c r="Q64" s="466"/>
      <c r="R64" s="467"/>
      <c r="S64" s="467"/>
      <c r="T64" s="468"/>
      <c r="U64" s="261"/>
      <c r="V64" s="261"/>
      <c r="W64" s="261"/>
      <c r="X64" s="262"/>
      <c r="Y64" s="261"/>
    </row>
    <row r="65" spans="2:25" ht="15.75" hidden="1" outlineLevel="1" thickBot="1" x14ac:dyDescent="0.3">
      <c r="B65" s="180"/>
      <c r="C65" s="357"/>
      <c r="D65" s="358"/>
      <c r="E65" s="185">
        <f t="shared" si="4"/>
        <v>0</v>
      </c>
      <c r="F65" s="359"/>
      <c r="G65" s="349"/>
      <c r="H65" s="206"/>
      <c r="I65" s="206"/>
      <c r="J65" s="297">
        <f t="shared" si="5"/>
        <v>0</v>
      </c>
      <c r="K65" s="309"/>
      <c r="L65" s="191"/>
      <c r="M65" s="194" t="str">
        <f t="shared" si="6"/>
        <v/>
      </c>
      <c r="N65" s="193" t="str">
        <f t="shared" si="7"/>
        <v/>
      </c>
      <c r="O65" s="195" t="str">
        <f t="shared" si="8"/>
        <v/>
      </c>
      <c r="P65" s="252"/>
      <c r="Q65" s="466"/>
      <c r="R65" s="467"/>
      <c r="S65" s="467"/>
      <c r="T65" s="468"/>
      <c r="U65" s="261"/>
      <c r="V65" s="261"/>
      <c r="W65" s="261"/>
      <c r="X65" s="262"/>
      <c r="Y65" s="261"/>
    </row>
    <row r="66" spans="2:25" ht="15.75" hidden="1" outlineLevel="1" thickBot="1" x14ac:dyDescent="0.3">
      <c r="B66" s="180"/>
      <c r="C66" s="357"/>
      <c r="D66" s="358"/>
      <c r="E66" s="185">
        <f t="shared" si="4"/>
        <v>0</v>
      </c>
      <c r="F66" s="359"/>
      <c r="G66" s="349"/>
      <c r="H66" s="206"/>
      <c r="I66" s="206"/>
      <c r="J66" s="297">
        <f t="shared" si="5"/>
        <v>0</v>
      </c>
      <c r="K66" s="309"/>
      <c r="L66" s="191"/>
      <c r="M66" s="194" t="str">
        <f t="shared" si="6"/>
        <v/>
      </c>
      <c r="N66" s="193" t="str">
        <f t="shared" si="7"/>
        <v/>
      </c>
      <c r="O66" s="195" t="str">
        <f t="shared" si="8"/>
        <v/>
      </c>
      <c r="P66" s="252"/>
      <c r="Q66" s="466"/>
      <c r="R66" s="467"/>
      <c r="S66" s="467"/>
      <c r="T66" s="468"/>
      <c r="U66" s="261"/>
      <c r="V66" s="261"/>
      <c r="W66" s="261"/>
      <c r="X66" s="262"/>
      <c r="Y66" s="261"/>
    </row>
    <row r="67" spans="2:25" ht="15.75" hidden="1" outlineLevel="1" thickBot="1" x14ac:dyDescent="0.3">
      <c r="B67" s="180"/>
      <c r="C67" s="357"/>
      <c r="D67" s="358"/>
      <c r="E67" s="185">
        <f t="shared" si="4"/>
        <v>0</v>
      </c>
      <c r="F67" s="359"/>
      <c r="G67" s="349"/>
      <c r="H67" s="206"/>
      <c r="I67" s="206"/>
      <c r="J67" s="297">
        <f t="shared" si="5"/>
        <v>0</v>
      </c>
      <c r="K67" s="309"/>
      <c r="L67" s="191"/>
      <c r="M67" s="194" t="str">
        <f t="shared" si="6"/>
        <v/>
      </c>
      <c r="N67" s="193" t="str">
        <f t="shared" si="7"/>
        <v/>
      </c>
      <c r="O67" s="195" t="str">
        <f t="shared" si="8"/>
        <v/>
      </c>
      <c r="P67" s="252"/>
      <c r="Q67" s="466"/>
      <c r="R67" s="467"/>
      <c r="S67" s="467"/>
      <c r="T67" s="468"/>
      <c r="U67" s="261"/>
      <c r="V67" s="261"/>
      <c r="W67" s="261"/>
      <c r="X67" s="262"/>
      <c r="Y67" s="261"/>
    </row>
    <row r="68" spans="2:25" ht="15.75" hidden="1" outlineLevel="1" thickBot="1" x14ac:dyDescent="0.3">
      <c r="B68" s="180"/>
      <c r="C68" s="357"/>
      <c r="D68" s="358"/>
      <c r="E68" s="185">
        <f t="shared" si="4"/>
        <v>0</v>
      </c>
      <c r="F68" s="359"/>
      <c r="G68" s="349"/>
      <c r="H68" s="206"/>
      <c r="I68" s="206"/>
      <c r="J68" s="297">
        <f t="shared" si="5"/>
        <v>0</v>
      </c>
      <c r="K68" s="309"/>
      <c r="L68" s="191"/>
      <c r="M68" s="194" t="str">
        <f t="shared" si="6"/>
        <v/>
      </c>
      <c r="N68" s="193" t="str">
        <f t="shared" si="7"/>
        <v/>
      </c>
      <c r="O68" s="195" t="str">
        <f t="shared" si="8"/>
        <v/>
      </c>
      <c r="P68" s="252"/>
      <c r="Q68" s="466"/>
      <c r="R68" s="467"/>
      <c r="S68" s="467"/>
      <c r="T68" s="468"/>
      <c r="U68" s="261"/>
      <c r="V68" s="261"/>
      <c r="W68" s="261"/>
      <c r="X68" s="262"/>
      <c r="Y68" s="261"/>
    </row>
    <row r="69" spans="2:25" ht="15.75" hidden="1" outlineLevel="1" thickBot="1" x14ac:dyDescent="0.3">
      <c r="B69" s="180"/>
      <c r="C69" s="357"/>
      <c r="D69" s="358"/>
      <c r="E69" s="185">
        <f t="shared" si="4"/>
        <v>0</v>
      </c>
      <c r="F69" s="359"/>
      <c r="G69" s="349"/>
      <c r="H69" s="206"/>
      <c r="I69" s="206"/>
      <c r="J69" s="297">
        <f t="shared" si="5"/>
        <v>0</v>
      </c>
      <c r="K69" s="309"/>
      <c r="L69" s="191"/>
      <c r="M69" s="194" t="str">
        <f t="shared" si="6"/>
        <v/>
      </c>
      <c r="N69" s="193" t="str">
        <f t="shared" si="7"/>
        <v/>
      </c>
      <c r="O69" s="195" t="str">
        <f t="shared" si="8"/>
        <v/>
      </c>
      <c r="P69" s="252"/>
      <c r="Q69" s="466"/>
      <c r="R69" s="467"/>
      <c r="S69" s="467"/>
      <c r="T69" s="468"/>
      <c r="U69" s="261"/>
      <c r="V69" s="261"/>
      <c r="W69" s="261"/>
      <c r="X69" s="262"/>
      <c r="Y69" s="261"/>
    </row>
    <row r="70" spans="2:25" ht="15.75" hidden="1" outlineLevel="1" thickBot="1" x14ac:dyDescent="0.3">
      <c r="B70" s="180"/>
      <c r="C70" s="357"/>
      <c r="D70" s="358"/>
      <c r="E70" s="185">
        <f t="shared" si="4"/>
        <v>0</v>
      </c>
      <c r="F70" s="359"/>
      <c r="G70" s="349"/>
      <c r="H70" s="206"/>
      <c r="I70" s="206"/>
      <c r="J70" s="297">
        <f t="shared" si="5"/>
        <v>0</v>
      </c>
      <c r="K70" s="309"/>
      <c r="L70" s="191"/>
      <c r="M70" s="194" t="str">
        <f t="shared" si="6"/>
        <v/>
      </c>
      <c r="N70" s="193" t="str">
        <f t="shared" si="7"/>
        <v/>
      </c>
      <c r="O70" s="195" t="str">
        <f t="shared" si="8"/>
        <v/>
      </c>
      <c r="P70" s="252"/>
      <c r="Q70" s="466"/>
      <c r="R70" s="467"/>
      <c r="S70" s="467"/>
      <c r="T70" s="468"/>
      <c r="U70" s="261"/>
      <c r="V70" s="261"/>
      <c r="W70" s="261"/>
      <c r="X70" s="262"/>
      <c r="Y70" s="261"/>
    </row>
    <row r="71" spans="2:25" ht="15.75" hidden="1" outlineLevel="1" thickBot="1" x14ac:dyDescent="0.3">
      <c r="B71" s="180"/>
      <c r="C71" s="357"/>
      <c r="D71" s="358"/>
      <c r="E71" s="185">
        <f t="shared" si="4"/>
        <v>0</v>
      </c>
      <c r="F71" s="359"/>
      <c r="G71" s="349"/>
      <c r="H71" s="206"/>
      <c r="I71" s="206"/>
      <c r="J71" s="297">
        <f t="shared" si="5"/>
        <v>0</v>
      </c>
      <c r="K71" s="309"/>
      <c r="L71" s="191"/>
      <c r="M71" s="194" t="str">
        <f t="shared" si="6"/>
        <v/>
      </c>
      <c r="N71" s="193" t="str">
        <f t="shared" si="7"/>
        <v/>
      </c>
      <c r="O71" s="195" t="str">
        <f t="shared" si="8"/>
        <v/>
      </c>
      <c r="P71" s="252"/>
      <c r="Q71" s="466"/>
      <c r="R71" s="467"/>
      <c r="S71" s="467"/>
      <c r="T71" s="468"/>
      <c r="U71" s="261"/>
      <c r="V71" s="261"/>
      <c r="W71" s="261"/>
      <c r="X71" s="262"/>
      <c r="Y71" s="261"/>
    </row>
    <row r="72" spans="2:25" ht="15.75" hidden="1" outlineLevel="1" thickBot="1" x14ac:dyDescent="0.3">
      <c r="B72" s="180"/>
      <c r="C72" s="357"/>
      <c r="D72" s="358"/>
      <c r="E72" s="185">
        <f t="shared" si="4"/>
        <v>0</v>
      </c>
      <c r="F72" s="359"/>
      <c r="G72" s="349"/>
      <c r="H72" s="206"/>
      <c r="I72" s="206"/>
      <c r="J72" s="297">
        <f t="shared" si="5"/>
        <v>0</v>
      </c>
      <c r="K72" s="309"/>
      <c r="L72" s="191"/>
      <c r="M72" s="194" t="str">
        <f t="shared" si="6"/>
        <v/>
      </c>
      <c r="N72" s="193" t="str">
        <f t="shared" si="7"/>
        <v/>
      </c>
      <c r="O72" s="195" t="str">
        <f t="shared" si="8"/>
        <v/>
      </c>
      <c r="P72" s="252"/>
      <c r="Q72" s="466"/>
      <c r="R72" s="467"/>
      <c r="S72" s="467"/>
      <c r="T72" s="468"/>
      <c r="U72" s="261"/>
      <c r="V72" s="261"/>
      <c r="W72" s="261"/>
      <c r="X72" s="262"/>
      <c r="Y72" s="261"/>
    </row>
    <row r="73" spans="2:25" ht="15.75" hidden="1" outlineLevel="1" thickBot="1" x14ac:dyDescent="0.3">
      <c r="B73" s="180"/>
      <c r="C73" s="357"/>
      <c r="D73" s="358"/>
      <c r="E73" s="185">
        <f t="shared" si="4"/>
        <v>0</v>
      </c>
      <c r="F73" s="359"/>
      <c r="G73" s="349"/>
      <c r="H73" s="206"/>
      <c r="I73" s="206"/>
      <c r="J73" s="297">
        <f t="shared" si="5"/>
        <v>0</v>
      </c>
      <c r="K73" s="309"/>
      <c r="L73" s="191"/>
      <c r="M73" s="194" t="str">
        <f t="shared" si="6"/>
        <v/>
      </c>
      <c r="N73" s="193" t="str">
        <f t="shared" si="7"/>
        <v/>
      </c>
      <c r="O73" s="195" t="str">
        <f t="shared" si="8"/>
        <v/>
      </c>
      <c r="P73" s="252"/>
      <c r="Q73" s="466"/>
      <c r="R73" s="467"/>
      <c r="S73" s="467"/>
      <c r="T73" s="468"/>
      <c r="U73" s="261"/>
      <c r="V73" s="261"/>
      <c r="W73" s="261"/>
      <c r="X73" s="262"/>
      <c r="Y73" s="261"/>
    </row>
    <row r="74" spans="2:25" ht="15.75" hidden="1" outlineLevel="1" thickBot="1" x14ac:dyDescent="0.3">
      <c r="B74" s="180"/>
      <c r="C74" s="357"/>
      <c r="D74" s="358"/>
      <c r="E74" s="185">
        <f t="shared" si="4"/>
        <v>0</v>
      </c>
      <c r="F74" s="359"/>
      <c r="G74" s="349"/>
      <c r="H74" s="206"/>
      <c r="I74" s="206"/>
      <c r="J74" s="297">
        <f t="shared" si="5"/>
        <v>0</v>
      </c>
      <c r="K74" s="309"/>
      <c r="L74" s="191"/>
      <c r="M74" s="194" t="str">
        <f t="shared" si="6"/>
        <v/>
      </c>
      <c r="N74" s="193" t="str">
        <f t="shared" si="7"/>
        <v/>
      </c>
      <c r="O74" s="195" t="str">
        <f t="shared" si="8"/>
        <v/>
      </c>
      <c r="P74" s="252"/>
      <c r="Q74" s="466"/>
      <c r="R74" s="467"/>
      <c r="S74" s="467"/>
      <c r="T74" s="468"/>
      <c r="U74" s="261"/>
      <c r="V74" s="261"/>
      <c r="W74" s="261"/>
      <c r="X74" s="262"/>
      <c r="Y74" s="261"/>
    </row>
    <row r="75" spans="2:25" ht="15.75" hidden="1" outlineLevel="1" thickBot="1" x14ac:dyDescent="0.3">
      <c r="B75" s="180"/>
      <c r="C75" s="357"/>
      <c r="D75" s="358"/>
      <c r="E75" s="185">
        <f t="shared" si="4"/>
        <v>0</v>
      </c>
      <c r="F75" s="359"/>
      <c r="G75" s="349"/>
      <c r="H75" s="206"/>
      <c r="I75" s="206"/>
      <c r="J75" s="297">
        <f t="shared" si="5"/>
        <v>0</v>
      </c>
      <c r="K75" s="309"/>
      <c r="L75" s="191"/>
      <c r="M75" s="194" t="str">
        <f t="shared" si="6"/>
        <v/>
      </c>
      <c r="N75" s="193" t="str">
        <f t="shared" si="7"/>
        <v/>
      </c>
      <c r="O75" s="195" t="str">
        <f t="shared" si="8"/>
        <v/>
      </c>
      <c r="P75" s="252"/>
      <c r="Q75" s="466"/>
      <c r="R75" s="467"/>
      <c r="S75" s="467"/>
      <c r="T75" s="468"/>
      <c r="U75" s="261"/>
      <c r="V75" s="261"/>
      <c r="W75" s="261"/>
      <c r="X75" s="262"/>
      <c r="Y75" s="261"/>
    </row>
    <row r="76" spans="2:25" ht="15.75" hidden="1" outlineLevel="1" thickBot="1" x14ac:dyDescent="0.3">
      <c r="B76" s="180"/>
      <c r="C76" s="357"/>
      <c r="D76" s="358"/>
      <c r="E76" s="185">
        <f t="shared" si="4"/>
        <v>0</v>
      </c>
      <c r="F76" s="359"/>
      <c r="G76" s="349"/>
      <c r="H76" s="206"/>
      <c r="I76" s="206"/>
      <c r="J76" s="297">
        <f t="shared" si="5"/>
        <v>0</v>
      </c>
      <c r="K76" s="309"/>
      <c r="L76" s="191"/>
      <c r="M76" s="194" t="str">
        <f t="shared" si="6"/>
        <v/>
      </c>
      <c r="N76" s="193" t="str">
        <f t="shared" si="7"/>
        <v/>
      </c>
      <c r="O76" s="195" t="str">
        <f t="shared" si="8"/>
        <v/>
      </c>
      <c r="P76" s="252"/>
      <c r="Q76" s="466"/>
      <c r="R76" s="467"/>
      <c r="S76" s="467"/>
      <c r="T76" s="468"/>
      <c r="U76" s="261"/>
      <c r="V76" s="261"/>
      <c r="W76" s="261"/>
      <c r="X76" s="262"/>
      <c r="Y76" s="261"/>
    </row>
    <row r="77" spans="2:25" ht="15.75" hidden="1" outlineLevel="1" thickBot="1" x14ac:dyDescent="0.3">
      <c r="B77" s="180"/>
      <c r="C77" s="357"/>
      <c r="D77" s="358"/>
      <c r="E77" s="185">
        <f t="shared" si="4"/>
        <v>0</v>
      </c>
      <c r="F77" s="359"/>
      <c r="G77" s="349"/>
      <c r="H77" s="206"/>
      <c r="I77" s="206"/>
      <c r="J77" s="297">
        <f t="shared" si="5"/>
        <v>0</v>
      </c>
      <c r="K77" s="309"/>
      <c r="L77" s="191"/>
      <c r="M77" s="194" t="str">
        <f t="shared" si="6"/>
        <v/>
      </c>
      <c r="N77" s="193" t="str">
        <f t="shared" si="7"/>
        <v/>
      </c>
      <c r="O77" s="195" t="str">
        <f t="shared" si="8"/>
        <v/>
      </c>
      <c r="P77" s="252"/>
      <c r="Q77" s="466"/>
      <c r="R77" s="467"/>
      <c r="S77" s="467"/>
      <c r="T77" s="468"/>
      <c r="U77" s="261"/>
      <c r="V77" s="261"/>
      <c r="W77" s="261"/>
      <c r="X77" s="262"/>
      <c r="Y77" s="261"/>
    </row>
    <row r="78" spans="2:25" ht="15.75" hidden="1" outlineLevel="1" thickBot="1" x14ac:dyDescent="0.3">
      <c r="B78" s="180"/>
      <c r="C78" s="357"/>
      <c r="D78" s="358"/>
      <c r="E78" s="185">
        <f t="shared" si="4"/>
        <v>0</v>
      </c>
      <c r="F78" s="359"/>
      <c r="G78" s="349"/>
      <c r="H78" s="206"/>
      <c r="I78" s="206"/>
      <c r="J78" s="297">
        <f t="shared" si="5"/>
        <v>0</v>
      </c>
      <c r="K78" s="309"/>
      <c r="L78" s="191"/>
      <c r="M78" s="194" t="str">
        <f t="shared" si="6"/>
        <v/>
      </c>
      <c r="N78" s="193" t="str">
        <f t="shared" si="7"/>
        <v/>
      </c>
      <c r="O78" s="195" t="str">
        <f t="shared" si="8"/>
        <v/>
      </c>
      <c r="P78" s="252"/>
      <c r="Q78" s="466"/>
      <c r="R78" s="467"/>
      <c r="S78" s="467"/>
      <c r="T78" s="468"/>
      <c r="U78" s="261"/>
      <c r="V78" s="261"/>
      <c r="W78" s="261"/>
      <c r="X78" s="262"/>
      <c r="Y78" s="261"/>
    </row>
    <row r="79" spans="2:25" ht="15.75" hidden="1" outlineLevel="1" thickBot="1" x14ac:dyDescent="0.3">
      <c r="B79" s="180"/>
      <c r="C79" s="357"/>
      <c r="D79" s="358"/>
      <c r="E79" s="185">
        <f t="shared" si="4"/>
        <v>0</v>
      </c>
      <c r="F79" s="359"/>
      <c r="G79" s="349"/>
      <c r="H79" s="206"/>
      <c r="I79" s="206"/>
      <c r="J79" s="297">
        <f t="shared" si="5"/>
        <v>0</v>
      </c>
      <c r="K79" s="309"/>
      <c r="L79" s="191"/>
      <c r="M79" s="194" t="str">
        <f t="shared" si="6"/>
        <v/>
      </c>
      <c r="N79" s="193" t="str">
        <f t="shared" si="7"/>
        <v/>
      </c>
      <c r="O79" s="195" t="str">
        <f t="shared" si="8"/>
        <v/>
      </c>
      <c r="P79" s="252"/>
      <c r="Q79" s="466"/>
      <c r="R79" s="467"/>
      <c r="S79" s="467"/>
      <c r="T79" s="468"/>
      <c r="U79" s="261"/>
      <c r="V79" s="261"/>
      <c r="W79" s="261"/>
      <c r="X79" s="262"/>
      <c r="Y79" s="261"/>
    </row>
    <row r="80" spans="2:25" ht="15.75" hidden="1" outlineLevel="1" thickBot="1" x14ac:dyDescent="0.3">
      <c r="B80" s="180"/>
      <c r="C80" s="357"/>
      <c r="D80" s="358"/>
      <c r="E80" s="185">
        <f t="shared" si="4"/>
        <v>0</v>
      </c>
      <c r="F80" s="359"/>
      <c r="G80" s="349"/>
      <c r="H80" s="206"/>
      <c r="I80" s="206"/>
      <c r="J80" s="297">
        <f t="shared" si="5"/>
        <v>0</v>
      </c>
      <c r="K80" s="309"/>
      <c r="L80" s="191"/>
      <c r="M80" s="194" t="str">
        <f t="shared" si="6"/>
        <v/>
      </c>
      <c r="N80" s="193" t="str">
        <f t="shared" si="7"/>
        <v/>
      </c>
      <c r="O80" s="195" t="str">
        <f t="shared" si="8"/>
        <v/>
      </c>
      <c r="P80" s="252"/>
      <c r="Q80" s="466"/>
      <c r="R80" s="467"/>
      <c r="S80" s="467"/>
      <c r="T80" s="468"/>
      <c r="U80" s="261"/>
      <c r="V80" s="261"/>
      <c r="W80" s="261"/>
      <c r="X80" s="262"/>
      <c r="Y80" s="261"/>
    </row>
    <row r="81" spans="2:25" ht="15.75" hidden="1" outlineLevel="1" thickBot="1" x14ac:dyDescent="0.3">
      <c r="B81" s="180"/>
      <c r="C81" s="357"/>
      <c r="D81" s="358"/>
      <c r="E81" s="185">
        <f t="shared" si="4"/>
        <v>0</v>
      </c>
      <c r="F81" s="359"/>
      <c r="G81" s="349"/>
      <c r="H81" s="206"/>
      <c r="I81" s="206"/>
      <c r="J81" s="297">
        <f t="shared" si="5"/>
        <v>0</v>
      </c>
      <c r="K81" s="309"/>
      <c r="L81" s="191"/>
      <c r="M81" s="194" t="str">
        <f t="shared" si="6"/>
        <v/>
      </c>
      <c r="N81" s="193" t="str">
        <f t="shared" si="7"/>
        <v/>
      </c>
      <c r="O81" s="195" t="str">
        <f t="shared" si="8"/>
        <v/>
      </c>
      <c r="P81" s="252"/>
      <c r="Q81" s="466"/>
      <c r="R81" s="467"/>
      <c r="S81" s="467"/>
      <c r="T81" s="468"/>
      <c r="U81" s="261"/>
      <c r="V81" s="261"/>
      <c r="W81" s="261"/>
      <c r="X81" s="262"/>
      <c r="Y81" s="261"/>
    </row>
    <row r="82" spans="2:25" ht="15.75" hidden="1" outlineLevel="1" thickBot="1" x14ac:dyDescent="0.3">
      <c r="B82" s="180"/>
      <c r="C82" s="357"/>
      <c r="D82" s="358"/>
      <c r="E82" s="185">
        <f t="shared" si="4"/>
        <v>0</v>
      </c>
      <c r="F82" s="359"/>
      <c r="G82" s="349"/>
      <c r="H82" s="206"/>
      <c r="I82" s="206"/>
      <c r="J82" s="297">
        <f t="shared" si="5"/>
        <v>0</v>
      </c>
      <c r="K82" s="309"/>
      <c r="L82" s="191"/>
      <c r="M82" s="194" t="str">
        <f t="shared" si="6"/>
        <v/>
      </c>
      <c r="N82" s="193" t="str">
        <f t="shared" si="7"/>
        <v/>
      </c>
      <c r="O82" s="195" t="str">
        <f t="shared" si="8"/>
        <v/>
      </c>
      <c r="P82" s="252"/>
      <c r="Q82" s="466"/>
      <c r="R82" s="467"/>
      <c r="S82" s="467"/>
      <c r="T82" s="468"/>
      <c r="U82" s="261"/>
      <c r="V82" s="261"/>
      <c r="W82" s="261"/>
      <c r="X82" s="262"/>
      <c r="Y82" s="261"/>
    </row>
    <row r="83" spans="2:25" ht="15.75" hidden="1" outlineLevel="1" thickBot="1" x14ac:dyDescent="0.3">
      <c r="B83" s="180"/>
      <c r="C83" s="357"/>
      <c r="D83" s="358"/>
      <c r="E83" s="185">
        <f t="shared" si="4"/>
        <v>0</v>
      </c>
      <c r="F83" s="359"/>
      <c r="G83" s="349"/>
      <c r="H83" s="206"/>
      <c r="I83" s="206"/>
      <c r="J83" s="297">
        <f t="shared" si="5"/>
        <v>0</v>
      </c>
      <c r="K83" s="309"/>
      <c r="L83" s="191"/>
      <c r="M83" s="194" t="str">
        <f t="shared" si="6"/>
        <v/>
      </c>
      <c r="N83" s="193" t="str">
        <f t="shared" si="7"/>
        <v/>
      </c>
      <c r="O83" s="195" t="str">
        <f t="shared" si="8"/>
        <v/>
      </c>
      <c r="P83" s="252"/>
      <c r="Q83" s="466"/>
      <c r="R83" s="467"/>
      <c r="S83" s="467"/>
      <c r="T83" s="468"/>
      <c r="U83" s="261"/>
      <c r="V83" s="261"/>
      <c r="W83" s="261"/>
      <c r="X83" s="262"/>
      <c r="Y83" s="261"/>
    </row>
    <row r="84" spans="2:25" ht="15.75" hidden="1" outlineLevel="1" thickBot="1" x14ac:dyDescent="0.3">
      <c r="B84" s="180"/>
      <c r="C84" s="357"/>
      <c r="D84" s="358"/>
      <c r="E84" s="185">
        <f t="shared" si="4"/>
        <v>0</v>
      </c>
      <c r="F84" s="359"/>
      <c r="G84" s="349"/>
      <c r="H84" s="206"/>
      <c r="I84" s="206"/>
      <c r="J84" s="297">
        <f t="shared" si="5"/>
        <v>0</v>
      </c>
      <c r="K84" s="309"/>
      <c r="L84" s="191"/>
      <c r="M84" s="194" t="str">
        <f t="shared" si="6"/>
        <v/>
      </c>
      <c r="N84" s="193" t="str">
        <f t="shared" si="7"/>
        <v/>
      </c>
      <c r="O84" s="195" t="str">
        <f t="shared" si="8"/>
        <v/>
      </c>
      <c r="P84" s="252"/>
      <c r="Q84" s="466"/>
      <c r="R84" s="467"/>
      <c r="S84" s="467"/>
      <c r="T84" s="468"/>
      <c r="U84" s="261"/>
      <c r="V84" s="261"/>
      <c r="W84" s="261"/>
      <c r="X84" s="262"/>
      <c r="Y84" s="261"/>
    </row>
    <row r="85" spans="2:25" ht="15.75" hidden="1" outlineLevel="1" thickBot="1" x14ac:dyDescent="0.3">
      <c r="B85" s="180"/>
      <c r="C85" s="357"/>
      <c r="D85" s="358"/>
      <c r="E85" s="185">
        <f t="shared" si="4"/>
        <v>0</v>
      </c>
      <c r="F85" s="359"/>
      <c r="G85" s="349"/>
      <c r="H85" s="206"/>
      <c r="I85" s="206"/>
      <c r="J85" s="297">
        <f t="shared" si="5"/>
        <v>0</v>
      </c>
      <c r="K85" s="309"/>
      <c r="L85" s="191"/>
      <c r="M85" s="194" t="str">
        <f t="shared" si="6"/>
        <v/>
      </c>
      <c r="N85" s="193" t="str">
        <f t="shared" si="7"/>
        <v/>
      </c>
      <c r="O85" s="195" t="str">
        <f t="shared" si="8"/>
        <v/>
      </c>
      <c r="P85" s="252"/>
      <c r="Q85" s="466"/>
      <c r="R85" s="467"/>
      <c r="S85" s="467"/>
      <c r="T85" s="468"/>
      <c r="U85" s="261"/>
      <c r="V85" s="261"/>
      <c r="W85" s="261"/>
      <c r="X85" s="262"/>
      <c r="Y85" s="261"/>
    </row>
    <row r="86" spans="2:25" ht="15.75" hidden="1" outlineLevel="1" thickBot="1" x14ac:dyDescent="0.3">
      <c r="B86" s="180"/>
      <c r="C86" s="357"/>
      <c r="D86" s="358"/>
      <c r="E86" s="185">
        <f t="shared" si="4"/>
        <v>0</v>
      </c>
      <c r="F86" s="359"/>
      <c r="G86" s="349"/>
      <c r="H86" s="206"/>
      <c r="I86" s="206"/>
      <c r="J86" s="297">
        <f t="shared" si="5"/>
        <v>0</v>
      </c>
      <c r="K86" s="309"/>
      <c r="L86" s="191"/>
      <c r="M86" s="194" t="str">
        <f t="shared" si="6"/>
        <v/>
      </c>
      <c r="N86" s="193" t="str">
        <f t="shared" si="7"/>
        <v/>
      </c>
      <c r="O86" s="195" t="str">
        <f t="shared" si="8"/>
        <v/>
      </c>
      <c r="P86" s="252"/>
      <c r="Q86" s="466"/>
      <c r="R86" s="467"/>
      <c r="S86" s="467"/>
      <c r="T86" s="468"/>
      <c r="U86" s="261"/>
      <c r="V86" s="261"/>
      <c r="W86" s="261"/>
      <c r="X86" s="262"/>
      <c r="Y86" s="261"/>
    </row>
    <row r="87" spans="2:25" ht="15.75" hidden="1" outlineLevel="1" thickBot="1" x14ac:dyDescent="0.3">
      <c r="B87" s="180"/>
      <c r="C87" s="357"/>
      <c r="D87" s="358"/>
      <c r="E87" s="185">
        <f t="shared" si="4"/>
        <v>0</v>
      </c>
      <c r="F87" s="359"/>
      <c r="G87" s="349"/>
      <c r="H87" s="206"/>
      <c r="I87" s="206"/>
      <c r="J87" s="297">
        <f t="shared" si="5"/>
        <v>0</v>
      </c>
      <c r="K87" s="309"/>
      <c r="L87" s="191"/>
      <c r="M87" s="194" t="str">
        <f t="shared" si="6"/>
        <v/>
      </c>
      <c r="N87" s="193" t="str">
        <f t="shared" si="7"/>
        <v/>
      </c>
      <c r="O87" s="195" t="str">
        <f t="shared" si="8"/>
        <v/>
      </c>
      <c r="P87" s="252"/>
      <c r="Q87" s="466"/>
      <c r="R87" s="467"/>
      <c r="S87" s="467"/>
      <c r="T87" s="468"/>
      <c r="U87" s="261"/>
      <c r="V87" s="261"/>
      <c r="W87" s="261"/>
      <c r="X87" s="262"/>
      <c r="Y87" s="261"/>
    </row>
    <row r="88" spans="2:25" ht="15.75" hidden="1" outlineLevel="1" thickBot="1" x14ac:dyDescent="0.3">
      <c r="B88" s="180"/>
      <c r="C88" s="357"/>
      <c r="D88" s="358"/>
      <c r="E88" s="185">
        <f t="shared" si="4"/>
        <v>0</v>
      </c>
      <c r="F88" s="359"/>
      <c r="G88" s="349"/>
      <c r="H88" s="206"/>
      <c r="I88" s="206"/>
      <c r="J88" s="297">
        <f t="shared" si="5"/>
        <v>0</v>
      </c>
      <c r="K88" s="309"/>
      <c r="L88" s="191"/>
      <c r="M88" s="194" t="str">
        <f t="shared" si="6"/>
        <v/>
      </c>
      <c r="N88" s="193" t="str">
        <f t="shared" si="7"/>
        <v/>
      </c>
      <c r="O88" s="195" t="str">
        <f t="shared" si="8"/>
        <v/>
      </c>
      <c r="P88" s="252"/>
      <c r="Q88" s="466"/>
      <c r="R88" s="467"/>
      <c r="S88" s="467"/>
      <c r="T88" s="468"/>
      <c r="U88" s="261"/>
      <c r="V88" s="261"/>
      <c r="W88" s="261"/>
      <c r="X88" s="262"/>
      <c r="Y88" s="261"/>
    </row>
    <row r="89" spans="2:25" ht="15.75" hidden="1" outlineLevel="1" thickBot="1" x14ac:dyDescent="0.3">
      <c r="B89" s="180"/>
      <c r="C89" s="357"/>
      <c r="D89" s="358"/>
      <c r="E89" s="185">
        <f t="shared" si="4"/>
        <v>0</v>
      </c>
      <c r="F89" s="359"/>
      <c r="G89" s="349"/>
      <c r="H89" s="206"/>
      <c r="I89" s="206"/>
      <c r="J89" s="297">
        <f t="shared" si="5"/>
        <v>0</v>
      </c>
      <c r="K89" s="309"/>
      <c r="L89" s="191"/>
      <c r="M89" s="194" t="str">
        <f t="shared" si="6"/>
        <v/>
      </c>
      <c r="N89" s="193" t="str">
        <f t="shared" si="7"/>
        <v/>
      </c>
      <c r="O89" s="195" t="str">
        <f t="shared" si="8"/>
        <v/>
      </c>
      <c r="P89" s="252"/>
      <c r="Q89" s="466"/>
      <c r="R89" s="467"/>
      <c r="S89" s="467"/>
      <c r="T89" s="468"/>
      <c r="U89" s="261"/>
      <c r="V89" s="261"/>
      <c r="W89" s="261"/>
      <c r="X89" s="262"/>
      <c r="Y89" s="261"/>
    </row>
    <row r="90" spans="2:25" ht="15.75" hidden="1" outlineLevel="1" thickBot="1" x14ac:dyDescent="0.3">
      <c r="B90" s="180"/>
      <c r="C90" s="357"/>
      <c r="D90" s="358"/>
      <c r="E90" s="185">
        <f t="shared" si="4"/>
        <v>0</v>
      </c>
      <c r="F90" s="359"/>
      <c r="G90" s="349"/>
      <c r="H90" s="206"/>
      <c r="I90" s="206"/>
      <c r="J90" s="297">
        <f t="shared" si="5"/>
        <v>0</v>
      </c>
      <c r="K90" s="309"/>
      <c r="L90" s="191"/>
      <c r="M90" s="194" t="str">
        <f t="shared" si="6"/>
        <v/>
      </c>
      <c r="N90" s="193" t="str">
        <f t="shared" si="7"/>
        <v/>
      </c>
      <c r="O90" s="195" t="str">
        <f t="shared" si="8"/>
        <v/>
      </c>
      <c r="P90" s="252"/>
      <c r="Q90" s="466"/>
      <c r="R90" s="467"/>
      <c r="S90" s="467"/>
      <c r="T90" s="468"/>
      <c r="U90" s="261"/>
      <c r="V90" s="261"/>
      <c r="W90" s="261"/>
      <c r="X90" s="262"/>
      <c r="Y90" s="261"/>
    </row>
    <row r="91" spans="2:25" ht="15.75" hidden="1" outlineLevel="1" thickBot="1" x14ac:dyDescent="0.3">
      <c r="B91" s="180"/>
      <c r="C91" s="357"/>
      <c r="D91" s="358"/>
      <c r="E91" s="185">
        <f t="shared" si="4"/>
        <v>0</v>
      </c>
      <c r="F91" s="359"/>
      <c r="G91" s="349"/>
      <c r="H91" s="206"/>
      <c r="I91" s="206"/>
      <c r="J91" s="297">
        <f t="shared" si="5"/>
        <v>0</v>
      </c>
      <c r="K91" s="309"/>
      <c r="L91" s="191"/>
      <c r="M91" s="194" t="str">
        <f t="shared" si="6"/>
        <v/>
      </c>
      <c r="N91" s="193" t="str">
        <f t="shared" si="7"/>
        <v/>
      </c>
      <c r="O91" s="195" t="str">
        <f t="shared" si="8"/>
        <v/>
      </c>
      <c r="P91" s="252"/>
      <c r="Q91" s="466"/>
      <c r="R91" s="467"/>
      <c r="S91" s="467"/>
      <c r="T91" s="468"/>
      <c r="U91" s="261"/>
      <c r="V91" s="261"/>
      <c r="W91" s="261"/>
      <c r="X91" s="262"/>
      <c r="Y91" s="261"/>
    </row>
    <row r="92" spans="2:25" ht="15.75" hidden="1" outlineLevel="1" thickBot="1" x14ac:dyDescent="0.3">
      <c r="B92" s="180"/>
      <c r="C92" s="357"/>
      <c r="D92" s="358"/>
      <c r="E92" s="185">
        <f t="shared" si="4"/>
        <v>0</v>
      </c>
      <c r="F92" s="359"/>
      <c r="G92" s="349"/>
      <c r="H92" s="206"/>
      <c r="I92" s="206"/>
      <c r="J92" s="297">
        <f t="shared" si="5"/>
        <v>0</v>
      </c>
      <c r="K92" s="309"/>
      <c r="L92" s="191"/>
      <c r="M92" s="194" t="str">
        <f t="shared" si="6"/>
        <v/>
      </c>
      <c r="N92" s="193" t="str">
        <f t="shared" si="7"/>
        <v/>
      </c>
      <c r="O92" s="195" t="str">
        <f t="shared" si="8"/>
        <v/>
      </c>
      <c r="P92" s="252"/>
      <c r="Q92" s="466"/>
      <c r="R92" s="467"/>
      <c r="S92" s="467"/>
      <c r="T92" s="468"/>
      <c r="U92" s="261"/>
      <c r="V92" s="261"/>
      <c r="W92" s="261"/>
      <c r="X92" s="262"/>
      <c r="Y92" s="261"/>
    </row>
    <row r="93" spans="2:25" ht="15.75" hidden="1" outlineLevel="1" thickBot="1" x14ac:dyDescent="0.3">
      <c r="B93" s="180"/>
      <c r="C93" s="357"/>
      <c r="D93" s="358"/>
      <c r="E93" s="185">
        <f t="shared" si="4"/>
        <v>0</v>
      </c>
      <c r="F93" s="359"/>
      <c r="G93" s="349"/>
      <c r="H93" s="206"/>
      <c r="I93" s="206"/>
      <c r="J93" s="297">
        <f t="shared" si="5"/>
        <v>0</v>
      </c>
      <c r="K93" s="309"/>
      <c r="L93" s="191"/>
      <c r="M93" s="194" t="str">
        <f t="shared" si="6"/>
        <v/>
      </c>
      <c r="N93" s="193" t="str">
        <f t="shared" si="7"/>
        <v/>
      </c>
      <c r="O93" s="195" t="str">
        <f t="shared" si="8"/>
        <v/>
      </c>
      <c r="P93" s="252"/>
      <c r="Q93" s="466"/>
      <c r="R93" s="467"/>
      <c r="S93" s="467"/>
      <c r="T93" s="468"/>
      <c r="U93" s="261"/>
      <c r="V93" s="261"/>
      <c r="W93" s="261"/>
      <c r="X93" s="262"/>
      <c r="Y93" s="261"/>
    </row>
    <row r="94" spans="2:25" ht="15.75" hidden="1" outlineLevel="1" thickBot="1" x14ac:dyDescent="0.3">
      <c r="B94" s="180"/>
      <c r="C94" s="357"/>
      <c r="D94" s="358"/>
      <c r="E94" s="185">
        <f t="shared" si="4"/>
        <v>0</v>
      </c>
      <c r="F94" s="359"/>
      <c r="G94" s="349"/>
      <c r="H94" s="206"/>
      <c r="I94" s="206"/>
      <c r="J94" s="297">
        <f t="shared" si="5"/>
        <v>0</v>
      </c>
      <c r="K94" s="309"/>
      <c r="L94" s="191"/>
      <c r="M94" s="194" t="str">
        <f t="shared" si="6"/>
        <v/>
      </c>
      <c r="N94" s="193" t="str">
        <f t="shared" si="7"/>
        <v/>
      </c>
      <c r="O94" s="195" t="str">
        <f t="shared" si="8"/>
        <v/>
      </c>
      <c r="P94" s="252"/>
      <c r="Q94" s="466"/>
      <c r="R94" s="467"/>
      <c r="S94" s="467"/>
      <c r="T94" s="468"/>
      <c r="U94" s="261"/>
      <c r="V94" s="261"/>
      <c r="W94" s="261"/>
      <c r="X94" s="262"/>
      <c r="Y94" s="261"/>
    </row>
    <row r="95" spans="2:25" ht="15.75" hidden="1" outlineLevel="1" thickBot="1" x14ac:dyDescent="0.3">
      <c r="B95" s="180"/>
      <c r="C95" s="357"/>
      <c r="D95" s="358"/>
      <c r="E95" s="185">
        <f t="shared" si="4"/>
        <v>0</v>
      </c>
      <c r="F95" s="359"/>
      <c r="G95" s="349"/>
      <c r="H95" s="206"/>
      <c r="I95" s="206"/>
      <c r="J95" s="297">
        <f t="shared" si="5"/>
        <v>0</v>
      </c>
      <c r="K95" s="309"/>
      <c r="L95" s="191"/>
      <c r="M95" s="194" t="str">
        <f t="shared" si="6"/>
        <v/>
      </c>
      <c r="N95" s="193" t="str">
        <f t="shared" si="7"/>
        <v/>
      </c>
      <c r="O95" s="195" t="str">
        <f t="shared" si="8"/>
        <v/>
      </c>
      <c r="P95" s="252"/>
      <c r="Q95" s="466"/>
      <c r="R95" s="467"/>
      <c r="S95" s="467"/>
      <c r="T95" s="468"/>
      <c r="U95" s="261"/>
      <c r="V95" s="261"/>
      <c r="W95" s="261"/>
      <c r="X95" s="262"/>
      <c r="Y95" s="261"/>
    </row>
    <row r="96" spans="2:25" ht="15.75" hidden="1" outlineLevel="1" thickBot="1" x14ac:dyDescent="0.3">
      <c r="B96" s="180"/>
      <c r="C96" s="357"/>
      <c r="D96" s="358"/>
      <c r="E96" s="185">
        <f t="shared" si="4"/>
        <v>0</v>
      </c>
      <c r="F96" s="359"/>
      <c r="G96" s="349"/>
      <c r="H96" s="206"/>
      <c r="I96" s="206"/>
      <c r="J96" s="297">
        <f t="shared" si="5"/>
        <v>0</v>
      </c>
      <c r="K96" s="309"/>
      <c r="L96" s="191"/>
      <c r="M96" s="194" t="str">
        <f t="shared" si="6"/>
        <v/>
      </c>
      <c r="N96" s="193" t="str">
        <f t="shared" si="7"/>
        <v/>
      </c>
      <c r="O96" s="195" t="str">
        <f t="shared" si="8"/>
        <v/>
      </c>
      <c r="P96" s="252"/>
      <c r="Q96" s="466"/>
      <c r="R96" s="467"/>
      <c r="S96" s="467"/>
      <c r="T96" s="468"/>
      <c r="U96" s="261"/>
      <c r="V96" s="261"/>
      <c r="W96" s="261"/>
      <c r="X96" s="262"/>
      <c r="Y96" s="261"/>
    </row>
    <row r="97" spans="2:25" ht="15.75" hidden="1" outlineLevel="1" thickBot="1" x14ac:dyDescent="0.3">
      <c r="B97" s="180"/>
      <c r="C97" s="357"/>
      <c r="D97" s="358"/>
      <c r="E97" s="185">
        <f t="shared" si="4"/>
        <v>0</v>
      </c>
      <c r="F97" s="359"/>
      <c r="G97" s="349"/>
      <c r="H97" s="206"/>
      <c r="I97" s="206"/>
      <c r="J97" s="297">
        <f t="shared" si="5"/>
        <v>0</v>
      </c>
      <c r="K97" s="309"/>
      <c r="L97" s="191"/>
      <c r="M97" s="194" t="str">
        <f t="shared" si="6"/>
        <v/>
      </c>
      <c r="N97" s="193" t="str">
        <f t="shared" si="7"/>
        <v/>
      </c>
      <c r="O97" s="195" t="str">
        <f t="shared" si="8"/>
        <v/>
      </c>
      <c r="P97" s="252"/>
      <c r="Q97" s="466"/>
      <c r="R97" s="467"/>
      <c r="S97" s="467"/>
      <c r="T97" s="468"/>
      <c r="U97" s="261"/>
      <c r="V97" s="261"/>
      <c r="W97" s="261"/>
      <c r="X97" s="262"/>
      <c r="Y97" s="261"/>
    </row>
    <row r="98" spans="2:25" ht="15.75" hidden="1" outlineLevel="1" thickBot="1" x14ac:dyDescent="0.3">
      <c r="B98" s="180"/>
      <c r="C98" s="357"/>
      <c r="D98" s="358"/>
      <c r="E98" s="185">
        <f t="shared" si="4"/>
        <v>0</v>
      </c>
      <c r="F98" s="359"/>
      <c r="G98" s="349"/>
      <c r="H98" s="206"/>
      <c r="I98" s="206"/>
      <c r="J98" s="297">
        <f t="shared" si="5"/>
        <v>0</v>
      </c>
      <c r="K98" s="309"/>
      <c r="L98" s="191"/>
      <c r="M98" s="194" t="str">
        <f t="shared" si="6"/>
        <v/>
      </c>
      <c r="N98" s="193" t="str">
        <f t="shared" si="7"/>
        <v/>
      </c>
      <c r="O98" s="195" t="str">
        <f t="shared" si="8"/>
        <v/>
      </c>
      <c r="P98" s="252"/>
      <c r="Q98" s="466"/>
      <c r="R98" s="467"/>
      <c r="S98" s="467"/>
      <c r="T98" s="468"/>
      <c r="U98" s="261"/>
      <c r="V98" s="261"/>
      <c r="W98" s="261"/>
      <c r="X98" s="262"/>
      <c r="Y98" s="261"/>
    </row>
    <row r="99" spans="2:25" ht="15.75" hidden="1" outlineLevel="1" thickBot="1" x14ac:dyDescent="0.3">
      <c r="B99" s="180"/>
      <c r="C99" s="357"/>
      <c r="D99" s="358"/>
      <c r="E99" s="185">
        <f t="shared" si="4"/>
        <v>0</v>
      </c>
      <c r="F99" s="359"/>
      <c r="G99" s="349"/>
      <c r="H99" s="206"/>
      <c r="I99" s="206"/>
      <c r="J99" s="297">
        <f t="shared" si="5"/>
        <v>0</v>
      </c>
      <c r="K99" s="309"/>
      <c r="L99" s="191"/>
      <c r="M99" s="194" t="str">
        <f t="shared" si="6"/>
        <v/>
      </c>
      <c r="N99" s="193" t="str">
        <f t="shared" si="7"/>
        <v/>
      </c>
      <c r="O99" s="195" t="str">
        <f t="shared" si="8"/>
        <v/>
      </c>
      <c r="P99" s="252"/>
      <c r="Q99" s="466"/>
      <c r="R99" s="467"/>
      <c r="S99" s="467"/>
      <c r="T99" s="468"/>
      <c r="U99" s="261"/>
      <c r="V99" s="261"/>
      <c r="W99" s="261"/>
      <c r="X99" s="262"/>
      <c r="Y99" s="261"/>
    </row>
    <row r="100" spans="2:25" ht="15.75" hidden="1" outlineLevel="1" thickBot="1" x14ac:dyDescent="0.3">
      <c r="B100" s="180"/>
      <c r="C100" s="357"/>
      <c r="D100" s="358"/>
      <c r="E100" s="185">
        <f t="shared" si="4"/>
        <v>0</v>
      </c>
      <c r="F100" s="359"/>
      <c r="G100" s="349"/>
      <c r="H100" s="206"/>
      <c r="I100" s="206"/>
      <c r="J100" s="297">
        <f t="shared" si="5"/>
        <v>0</v>
      </c>
      <c r="K100" s="309"/>
      <c r="L100" s="191"/>
      <c r="M100" s="194" t="str">
        <f t="shared" si="6"/>
        <v/>
      </c>
      <c r="N100" s="193" t="str">
        <f t="shared" si="7"/>
        <v/>
      </c>
      <c r="O100" s="195" t="str">
        <f t="shared" si="8"/>
        <v/>
      </c>
      <c r="P100" s="252"/>
      <c r="Q100" s="466"/>
      <c r="R100" s="467"/>
      <c r="S100" s="467"/>
      <c r="T100" s="468"/>
      <c r="U100" s="261"/>
      <c r="V100" s="261"/>
      <c r="W100" s="261"/>
      <c r="X100" s="262"/>
      <c r="Y100" s="261"/>
    </row>
    <row r="101" spans="2:25" ht="15.75" hidden="1" outlineLevel="1" thickBot="1" x14ac:dyDescent="0.3">
      <c r="B101" s="180"/>
      <c r="C101" s="357"/>
      <c r="D101" s="358"/>
      <c r="E101" s="185">
        <f t="shared" si="4"/>
        <v>0</v>
      </c>
      <c r="F101" s="359"/>
      <c r="G101" s="349"/>
      <c r="H101" s="206"/>
      <c r="I101" s="206"/>
      <c r="J101" s="297">
        <f t="shared" si="5"/>
        <v>0</v>
      </c>
      <c r="K101" s="309"/>
      <c r="L101" s="191"/>
      <c r="M101" s="194" t="str">
        <f t="shared" si="6"/>
        <v/>
      </c>
      <c r="N101" s="193" t="str">
        <f t="shared" si="7"/>
        <v/>
      </c>
      <c r="O101" s="195" t="str">
        <f t="shared" si="8"/>
        <v/>
      </c>
      <c r="P101" s="252"/>
      <c r="Q101" s="466"/>
      <c r="R101" s="467"/>
      <c r="S101" s="467"/>
      <c r="T101" s="468"/>
      <c r="U101" s="261"/>
      <c r="V101" s="261"/>
      <c r="W101" s="261"/>
      <c r="X101" s="262"/>
      <c r="Y101" s="261"/>
    </row>
    <row r="102" spans="2:25" ht="15.75" hidden="1" outlineLevel="1" thickBot="1" x14ac:dyDescent="0.3">
      <c r="B102" s="180"/>
      <c r="C102" s="357"/>
      <c r="D102" s="358"/>
      <c r="E102" s="185">
        <f t="shared" si="4"/>
        <v>0</v>
      </c>
      <c r="F102" s="359"/>
      <c r="G102" s="349"/>
      <c r="H102" s="206"/>
      <c r="I102" s="206"/>
      <c r="J102" s="297">
        <f t="shared" si="5"/>
        <v>0</v>
      </c>
      <c r="K102" s="309"/>
      <c r="L102" s="191"/>
      <c r="M102" s="194" t="str">
        <f t="shared" si="6"/>
        <v/>
      </c>
      <c r="N102" s="193" t="str">
        <f t="shared" si="7"/>
        <v/>
      </c>
      <c r="O102" s="195" t="str">
        <f t="shared" si="8"/>
        <v/>
      </c>
      <c r="P102" s="252"/>
      <c r="Q102" s="466"/>
      <c r="R102" s="467"/>
      <c r="S102" s="467"/>
      <c r="T102" s="468"/>
      <c r="U102" s="261"/>
      <c r="V102" s="261"/>
      <c r="W102" s="261"/>
      <c r="X102" s="262"/>
      <c r="Y102" s="261"/>
    </row>
    <row r="103" spans="2:25" ht="15.75" hidden="1" outlineLevel="1" thickBot="1" x14ac:dyDescent="0.3">
      <c r="B103" s="180"/>
      <c r="C103" s="357"/>
      <c r="D103" s="358"/>
      <c r="E103" s="185">
        <f t="shared" si="4"/>
        <v>0</v>
      </c>
      <c r="F103" s="359"/>
      <c r="G103" s="349"/>
      <c r="H103" s="206"/>
      <c r="I103" s="206"/>
      <c r="J103" s="297">
        <f t="shared" si="5"/>
        <v>0</v>
      </c>
      <c r="K103" s="309"/>
      <c r="L103" s="191"/>
      <c r="M103" s="194" t="str">
        <f t="shared" si="6"/>
        <v/>
      </c>
      <c r="N103" s="193" t="str">
        <f t="shared" si="7"/>
        <v/>
      </c>
      <c r="O103" s="195" t="str">
        <f t="shared" si="8"/>
        <v/>
      </c>
      <c r="P103" s="252"/>
      <c r="Q103" s="466"/>
      <c r="R103" s="467"/>
      <c r="S103" s="467"/>
      <c r="T103" s="468"/>
      <c r="U103" s="261"/>
      <c r="V103" s="261"/>
      <c r="W103" s="261"/>
      <c r="X103" s="262"/>
      <c r="Y103" s="261"/>
    </row>
    <row r="104" spans="2:25" ht="15.75" hidden="1" outlineLevel="1" thickBot="1" x14ac:dyDescent="0.3">
      <c r="B104" s="180"/>
      <c r="C104" s="357"/>
      <c r="D104" s="358"/>
      <c r="E104" s="185">
        <f t="shared" si="4"/>
        <v>0</v>
      </c>
      <c r="F104" s="359"/>
      <c r="G104" s="349"/>
      <c r="H104" s="206"/>
      <c r="I104" s="206"/>
      <c r="J104" s="297">
        <f t="shared" si="5"/>
        <v>0</v>
      </c>
      <c r="K104" s="309"/>
      <c r="L104" s="191"/>
      <c r="M104" s="194" t="str">
        <f t="shared" si="6"/>
        <v/>
      </c>
      <c r="N104" s="193" t="str">
        <f t="shared" si="7"/>
        <v/>
      </c>
      <c r="O104" s="195" t="str">
        <f t="shared" si="8"/>
        <v/>
      </c>
      <c r="P104" s="252"/>
      <c r="Q104" s="466"/>
      <c r="R104" s="467"/>
      <c r="S104" s="467"/>
      <c r="T104" s="468"/>
      <c r="U104" s="261"/>
      <c r="V104" s="261"/>
      <c r="W104" s="261"/>
      <c r="X104" s="262"/>
      <c r="Y104" s="261"/>
    </row>
    <row r="105" spans="2:25" ht="15.75" hidden="1" outlineLevel="1" thickBot="1" x14ac:dyDescent="0.3">
      <c r="B105" s="180"/>
      <c r="C105" s="357"/>
      <c r="D105" s="358"/>
      <c r="E105" s="185">
        <f t="shared" si="4"/>
        <v>0</v>
      </c>
      <c r="F105" s="359"/>
      <c r="G105" s="349"/>
      <c r="H105" s="206"/>
      <c r="I105" s="206"/>
      <c r="J105" s="297">
        <f t="shared" si="5"/>
        <v>0</v>
      </c>
      <c r="K105" s="309"/>
      <c r="L105" s="191"/>
      <c r="M105" s="194" t="str">
        <f t="shared" si="6"/>
        <v/>
      </c>
      <c r="N105" s="193" t="str">
        <f t="shared" si="7"/>
        <v/>
      </c>
      <c r="O105" s="195" t="str">
        <f t="shared" si="8"/>
        <v/>
      </c>
      <c r="P105" s="252"/>
      <c r="Q105" s="466"/>
      <c r="R105" s="467"/>
      <c r="S105" s="467"/>
      <c r="T105" s="468"/>
      <c r="U105" s="261"/>
      <c r="V105" s="261"/>
      <c r="W105" s="261"/>
      <c r="X105" s="262"/>
      <c r="Y105" s="261"/>
    </row>
    <row r="106" spans="2:25" ht="15.75" hidden="1" outlineLevel="1" thickBot="1" x14ac:dyDescent="0.3">
      <c r="B106" s="180"/>
      <c r="C106" s="357"/>
      <c r="D106" s="358"/>
      <c r="E106" s="185">
        <f t="shared" si="4"/>
        <v>0</v>
      </c>
      <c r="F106" s="359"/>
      <c r="G106" s="349"/>
      <c r="H106" s="206"/>
      <c r="I106" s="206"/>
      <c r="J106" s="297">
        <f t="shared" si="5"/>
        <v>0</v>
      </c>
      <c r="K106" s="309"/>
      <c r="L106" s="191"/>
      <c r="M106" s="194" t="str">
        <f t="shared" si="6"/>
        <v/>
      </c>
      <c r="N106" s="193" t="str">
        <f t="shared" si="7"/>
        <v/>
      </c>
      <c r="O106" s="195" t="str">
        <f t="shared" si="8"/>
        <v/>
      </c>
      <c r="P106" s="252"/>
      <c r="Q106" s="466"/>
      <c r="R106" s="467"/>
      <c r="S106" s="467"/>
      <c r="T106" s="468"/>
      <c r="U106" s="261"/>
      <c r="V106" s="261"/>
      <c r="W106" s="261"/>
      <c r="X106" s="262"/>
      <c r="Y106" s="261"/>
    </row>
    <row r="107" spans="2:25" ht="15.75" hidden="1" outlineLevel="1" thickBot="1" x14ac:dyDescent="0.3">
      <c r="B107" s="180"/>
      <c r="C107" s="357"/>
      <c r="D107" s="358"/>
      <c r="E107" s="185">
        <f t="shared" si="4"/>
        <v>0</v>
      </c>
      <c r="F107" s="359"/>
      <c r="G107" s="349"/>
      <c r="H107" s="206"/>
      <c r="I107" s="206"/>
      <c r="J107" s="297">
        <f t="shared" si="5"/>
        <v>0</v>
      </c>
      <c r="K107" s="309"/>
      <c r="L107" s="191"/>
      <c r="M107" s="194" t="str">
        <f t="shared" si="6"/>
        <v/>
      </c>
      <c r="N107" s="193" t="str">
        <f t="shared" si="7"/>
        <v/>
      </c>
      <c r="O107" s="195" t="str">
        <f t="shared" si="8"/>
        <v/>
      </c>
      <c r="P107" s="252"/>
      <c r="Q107" s="466"/>
      <c r="R107" s="467"/>
      <c r="S107" s="467"/>
      <c r="T107" s="468"/>
      <c r="U107" s="261"/>
      <c r="V107" s="261"/>
      <c r="W107" s="261"/>
      <c r="X107" s="262"/>
      <c r="Y107" s="261"/>
    </row>
    <row r="108" spans="2:25" ht="15.75" hidden="1" outlineLevel="1" thickBot="1" x14ac:dyDescent="0.3">
      <c r="B108" s="180"/>
      <c r="C108" s="357"/>
      <c r="D108" s="358"/>
      <c r="E108" s="185">
        <f t="shared" si="4"/>
        <v>0</v>
      </c>
      <c r="F108" s="359"/>
      <c r="G108" s="349"/>
      <c r="H108" s="206"/>
      <c r="I108" s="206"/>
      <c r="J108" s="297">
        <f t="shared" si="5"/>
        <v>0</v>
      </c>
      <c r="K108" s="309"/>
      <c r="L108" s="191"/>
      <c r="M108" s="194" t="str">
        <f t="shared" si="6"/>
        <v/>
      </c>
      <c r="N108" s="193" t="str">
        <f t="shared" si="7"/>
        <v/>
      </c>
      <c r="O108" s="195" t="str">
        <f t="shared" si="8"/>
        <v/>
      </c>
      <c r="P108" s="252"/>
      <c r="Q108" s="466"/>
      <c r="R108" s="467"/>
      <c r="S108" s="467"/>
      <c r="T108" s="468"/>
      <c r="U108" s="261"/>
      <c r="V108" s="261"/>
      <c r="W108" s="261"/>
      <c r="X108" s="262"/>
      <c r="Y108" s="261"/>
    </row>
    <row r="109" spans="2:25" ht="15.75" hidden="1" outlineLevel="1" thickBot="1" x14ac:dyDescent="0.3">
      <c r="B109" s="180"/>
      <c r="C109" s="357"/>
      <c r="D109" s="358"/>
      <c r="E109" s="185">
        <f t="shared" si="4"/>
        <v>0</v>
      </c>
      <c r="F109" s="359"/>
      <c r="G109" s="349"/>
      <c r="H109" s="206"/>
      <c r="I109" s="206"/>
      <c r="J109" s="297">
        <f t="shared" si="5"/>
        <v>0</v>
      </c>
      <c r="K109" s="309"/>
      <c r="L109" s="191"/>
      <c r="M109" s="194" t="str">
        <f t="shared" si="6"/>
        <v/>
      </c>
      <c r="N109" s="193" t="str">
        <f t="shared" si="7"/>
        <v/>
      </c>
      <c r="O109" s="195" t="str">
        <f t="shared" si="8"/>
        <v/>
      </c>
      <c r="P109" s="252"/>
      <c r="Q109" s="466"/>
      <c r="R109" s="467"/>
      <c r="S109" s="467"/>
      <c r="T109" s="468"/>
      <c r="U109" s="261"/>
      <c r="V109" s="261"/>
      <c r="W109" s="261"/>
      <c r="X109" s="262"/>
      <c r="Y109" s="261"/>
    </row>
    <row r="110" spans="2:25" ht="15.75" hidden="1" outlineLevel="1" thickBot="1" x14ac:dyDescent="0.3">
      <c r="B110" s="180"/>
      <c r="C110" s="357"/>
      <c r="D110" s="358"/>
      <c r="E110" s="185">
        <f t="shared" si="4"/>
        <v>0</v>
      </c>
      <c r="F110" s="359"/>
      <c r="G110" s="349"/>
      <c r="H110" s="206"/>
      <c r="I110" s="206"/>
      <c r="J110" s="297">
        <f t="shared" si="5"/>
        <v>0</v>
      </c>
      <c r="K110" s="309"/>
      <c r="L110" s="191"/>
      <c r="M110" s="194" t="str">
        <f t="shared" si="6"/>
        <v/>
      </c>
      <c r="N110" s="193" t="str">
        <f t="shared" si="7"/>
        <v/>
      </c>
      <c r="O110" s="195" t="str">
        <f t="shared" si="8"/>
        <v/>
      </c>
      <c r="P110" s="252"/>
      <c r="Q110" s="466"/>
      <c r="R110" s="467"/>
      <c r="S110" s="467"/>
      <c r="T110" s="468"/>
      <c r="U110" s="261"/>
      <c r="V110" s="261"/>
      <c r="W110" s="261"/>
      <c r="X110" s="262"/>
      <c r="Y110" s="261"/>
    </row>
    <row r="111" spans="2:25" ht="15.75" hidden="1" outlineLevel="1" thickBot="1" x14ac:dyDescent="0.3">
      <c r="B111" s="180"/>
      <c r="C111" s="357"/>
      <c r="D111" s="358"/>
      <c r="E111" s="185">
        <f t="shared" si="4"/>
        <v>0</v>
      </c>
      <c r="F111" s="359"/>
      <c r="G111" s="349"/>
      <c r="H111" s="206"/>
      <c r="I111" s="206"/>
      <c r="J111" s="297">
        <f t="shared" si="5"/>
        <v>0</v>
      </c>
      <c r="K111" s="309"/>
      <c r="L111" s="191"/>
      <c r="M111" s="194" t="str">
        <f t="shared" si="6"/>
        <v/>
      </c>
      <c r="N111" s="193" t="str">
        <f t="shared" si="7"/>
        <v/>
      </c>
      <c r="O111" s="195" t="str">
        <f t="shared" si="8"/>
        <v/>
      </c>
      <c r="P111" s="252"/>
      <c r="Q111" s="466"/>
      <c r="R111" s="467"/>
      <c r="S111" s="467"/>
      <c r="T111" s="468"/>
      <c r="U111" s="261"/>
      <c r="V111" s="261"/>
      <c r="W111" s="261"/>
      <c r="X111" s="262"/>
      <c r="Y111" s="261"/>
    </row>
    <row r="112" spans="2:25" ht="15.75" hidden="1" outlineLevel="1" thickBot="1" x14ac:dyDescent="0.3">
      <c r="B112" s="180"/>
      <c r="C112" s="357"/>
      <c r="D112" s="358"/>
      <c r="E112" s="185">
        <f t="shared" si="4"/>
        <v>0</v>
      </c>
      <c r="F112" s="359"/>
      <c r="G112" s="349"/>
      <c r="H112" s="206"/>
      <c r="I112" s="206"/>
      <c r="J112" s="297">
        <f t="shared" si="5"/>
        <v>0</v>
      </c>
      <c r="K112" s="309"/>
      <c r="L112" s="191"/>
      <c r="M112" s="194" t="str">
        <f t="shared" si="6"/>
        <v/>
      </c>
      <c r="N112" s="193" t="str">
        <f t="shared" si="7"/>
        <v/>
      </c>
      <c r="O112" s="195" t="str">
        <f t="shared" si="8"/>
        <v/>
      </c>
      <c r="P112" s="252"/>
      <c r="Q112" s="466"/>
      <c r="R112" s="467"/>
      <c r="S112" s="467"/>
      <c r="T112" s="468"/>
      <c r="U112" s="261"/>
      <c r="V112" s="261"/>
      <c r="W112" s="261"/>
      <c r="X112" s="262"/>
      <c r="Y112" s="261"/>
    </row>
    <row r="113" spans="2:25" ht="15.75" hidden="1" outlineLevel="1" thickBot="1" x14ac:dyDescent="0.3">
      <c r="B113" s="180"/>
      <c r="C113" s="357"/>
      <c r="D113" s="358"/>
      <c r="E113" s="185">
        <f t="shared" si="4"/>
        <v>0</v>
      </c>
      <c r="F113" s="359"/>
      <c r="G113" s="349"/>
      <c r="H113" s="206"/>
      <c r="I113" s="206"/>
      <c r="J113" s="297">
        <f t="shared" si="5"/>
        <v>0</v>
      </c>
      <c r="K113" s="309"/>
      <c r="L113" s="191"/>
      <c r="M113" s="194" t="str">
        <f t="shared" si="6"/>
        <v/>
      </c>
      <c r="N113" s="193" t="str">
        <f t="shared" si="7"/>
        <v/>
      </c>
      <c r="O113" s="195" t="str">
        <f t="shared" si="8"/>
        <v/>
      </c>
      <c r="P113" s="252"/>
      <c r="Q113" s="466"/>
      <c r="R113" s="467"/>
      <c r="S113" s="467"/>
      <c r="T113" s="468"/>
      <c r="U113" s="261"/>
      <c r="V113" s="261"/>
      <c r="W113" s="261"/>
      <c r="X113" s="262"/>
      <c r="Y113" s="261"/>
    </row>
    <row r="114" spans="2:25" ht="15.75" hidden="1" outlineLevel="1" thickBot="1" x14ac:dyDescent="0.3">
      <c r="B114" s="180"/>
      <c r="C114" s="357"/>
      <c r="D114" s="358"/>
      <c r="E114" s="185">
        <f t="shared" si="4"/>
        <v>0</v>
      </c>
      <c r="F114" s="359"/>
      <c r="G114" s="349"/>
      <c r="H114" s="206"/>
      <c r="I114" s="206"/>
      <c r="J114" s="297">
        <f t="shared" si="5"/>
        <v>0</v>
      </c>
      <c r="K114" s="309"/>
      <c r="L114" s="191"/>
      <c r="M114" s="194" t="str">
        <f t="shared" si="6"/>
        <v/>
      </c>
      <c r="N114" s="193" t="str">
        <f t="shared" si="7"/>
        <v/>
      </c>
      <c r="O114" s="195" t="str">
        <f t="shared" si="8"/>
        <v/>
      </c>
      <c r="P114" s="252"/>
      <c r="Q114" s="466"/>
      <c r="R114" s="467"/>
      <c r="S114" s="467"/>
      <c r="T114" s="468"/>
      <c r="U114" s="261"/>
      <c r="V114" s="261"/>
      <c r="W114" s="261"/>
      <c r="X114" s="262"/>
      <c r="Y114" s="261"/>
    </row>
    <row r="115" spans="2:25" ht="15.75" hidden="1" outlineLevel="1" thickBot="1" x14ac:dyDescent="0.3">
      <c r="B115" s="180"/>
      <c r="C115" s="357"/>
      <c r="D115" s="358"/>
      <c r="E115" s="185">
        <f t="shared" si="4"/>
        <v>0</v>
      </c>
      <c r="F115" s="359"/>
      <c r="G115" s="349"/>
      <c r="H115" s="206"/>
      <c r="I115" s="206"/>
      <c r="J115" s="297">
        <f t="shared" si="5"/>
        <v>0</v>
      </c>
      <c r="K115" s="309"/>
      <c r="L115" s="191"/>
      <c r="M115" s="194" t="str">
        <f t="shared" si="6"/>
        <v/>
      </c>
      <c r="N115" s="193" t="str">
        <f t="shared" si="7"/>
        <v/>
      </c>
      <c r="O115" s="195" t="str">
        <f t="shared" si="8"/>
        <v/>
      </c>
      <c r="P115" s="252"/>
      <c r="Q115" s="466"/>
      <c r="R115" s="467"/>
      <c r="S115" s="467"/>
      <c r="T115" s="468"/>
      <c r="U115" s="261"/>
      <c r="V115" s="261"/>
      <c r="W115" s="261"/>
      <c r="X115" s="262"/>
      <c r="Y115" s="261"/>
    </row>
    <row r="116" spans="2:25" ht="15.75" hidden="1" outlineLevel="1" thickBot="1" x14ac:dyDescent="0.3">
      <c r="B116" s="180"/>
      <c r="C116" s="357"/>
      <c r="D116" s="358"/>
      <c r="E116" s="185">
        <f t="shared" si="4"/>
        <v>0</v>
      </c>
      <c r="F116" s="359"/>
      <c r="G116" s="349"/>
      <c r="H116" s="206"/>
      <c r="I116" s="206"/>
      <c r="J116" s="297">
        <f t="shared" si="5"/>
        <v>0</v>
      </c>
      <c r="K116" s="309"/>
      <c r="L116" s="191"/>
      <c r="M116" s="194" t="str">
        <f t="shared" si="6"/>
        <v/>
      </c>
      <c r="N116" s="193" t="str">
        <f t="shared" si="7"/>
        <v/>
      </c>
      <c r="O116" s="195" t="str">
        <f t="shared" si="8"/>
        <v/>
      </c>
      <c r="P116" s="252"/>
      <c r="Q116" s="466"/>
      <c r="R116" s="467"/>
      <c r="S116" s="467"/>
      <c r="T116" s="468"/>
      <c r="U116" s="261"/>
      <c r="V116" s="261"/>
      <c r="W116" s="261"/>
      <c r="X116" s="262"/>
      <c r="Y116" s="261"/>
    </row>
    <row r="117" spans="2:25" ht="15.75" hidden="1" outlineLevel="1" thickBot="1" x14ac:dyDescent="0.3">
      <c r="B117" s="180"/>
      <c r="C117" s="357"/>
      <c r="D117" s="358"/>
      <c r="E117" s="185">
        <f t="shared" ref="E117:E180" si="9">C117+D117</f>
        <v>0</v>
      </c>
      <c r="F117" s="359"/>
      <c r="G117" s="349"/>
      <c r="H117" s="206"/>
      <c r="I117" s="206"/>
      <c r="J117" s="297">
        <f t="shared" ref="J117:J180" si="10">H117+I117</f>
        <v>0</v>
      </c>
      <c r="K117" s="309"/>
      <c r="L117" s="191"/>
      <c r="M117" s="194" t="str">
        <f t="shared" ref="M117:M180" si="11">IF(AND(G117&gt;0,OR(C117&gt;0,F117&gt;0,H117&gt;0)),(G117-F117)/G117,"")</f>
        <v/>
      </c>
      <c r="N117" s="193" t="str">
        <f t="shared" ref="N117:N180" si="12">IF(G117&gt;0,(IF(C117&gt;0,C117,H117))/G117,"")</f>
        <v/>
      </c>
      <c r="O117" s="195" t="str">
        <f t="shared" ref="O117:O180" si="13">IF(M117=100%,G117-(IF(C117&gt;0,C117,H117)),"")</f>
        <v/>
      </c>
      <c r="P117" s="252"/>
      <c r="Q117" s="466"/>
      <c r="R117" s="467"/>
      <c r="S117" s="467"/>
      <c r="T117" s="468"/>
      <c r="U117" s="261"/>
      <c r="V117" s="261"/>
      <c r="W117" s="261"/>
      <c r="X117" s="262"/>
      <c r="Y117" s="261"/>
    </row>
    <row r="118" spans="2:25" ht="15.75" hidden="1" outlineLevel="1" thickBot="1" x14ac:dyDescent="0.3">
      <c r="B118" s="180"/>
      <c r="C118" s="357"/>
      <c r="D118" s="358"/>
      <c r="E118" s="185">
        <f t="shared" si="9"/>
        <v>0</v>
      </c>
      <c r="F118" s="359"/>
      <c r="G118" s="349"/>
      <c r="H118" s="206"/>
      <c r="I118" s="206"/>
      <c r="J118" s="297">
        <f t="shared" si="10"/>
        <v>0</v>
      </c>
      <c r="K118" s="309"/>
      <c r="L118" s="191"/>
      <c r="M118" s="194" t="str">
        <f t="shared" si="11"/>
        <v/>
      </c>
      <c r="N118" s="193" t="str">
        <f t="shared" si="12"/>
        <v/>
      </c>
      <c r="O118" s="195" t="str">
        <f t="shared" si="13"/>
        <v/>
      </c>
      <c r="P118" s="252"/>
      <c r="Q118" s="466"/>
      <c r="R118" s="467"/>
      <c r="S118" s="467"/>
      <c r="T118" s="468"/>
      <c r="U118" s="261"/>
      <c r="V118" s="261"/>
      <c r="W118" s="261"/>
      <c r="X118" s="262"/>
      <c r="Y118" s="261"/>
    </row>
    <row r="119" spans="2:25" ht="15.75" hidden="1" outlineLevel="1" thickBot="1" x14ac:dyDescent="0.3">
      <c r="B119" s="180"/>
      <c r="C119" s="357"/>
      <c r="D119" s="358"/>
      <c r="E119" s="185">
        <f t="shared" si="9"/>
        <v>0</v>
      </c>
      <c r="F119" s="359"/>
      <c r="G119" s="349"/>
      <c r="H119" s="206"/>
      <c r="I119" s="206"/>
      <c r="J119" s="297">
        <f t="shared" si="10"/>
        <v>0</v>
      </c>
      <c r="K119" s="309"/>
      <c r="L119" s="191"/>
      <c r="M119" s="194" t="str">
        <f t="shared" si="11"/>
        <v/>
      </c>
      <c r="N119" s="193" t="str">
        <f t="shared" si="12"/>
        <v/>
      </c>
      <c r="O119" s="195" t="str">
        <f t="shared" si="13"/>
        <v/>
      </c>
      <c r="P119" s="252"/>
      <c r="Q119" s="466"/>
      <c r="R119" s="467"/>
      <c r="S119" s="467"/>
      <c r="T119" s="468"/>
      <c r="U119" s="261"/>
      <c r="V119" s="261"/>
      <c r="W119" s="261"/>
      <c r="X119" s="262"/>
      <c r="Y119" s="261"/>
    </row>
    <row r="120" spans="2:25" ht="15.75" hidden="1" outlineLevel="1" thickBot="1" x14ac:dyDescent="0.3">
      <c r="B120" s="180"/>
      <c r="C120" s="357"/>
      <c r="D120" s="358"/>
      <c r="E120" s="185">
        <f t="shared" si="9"/>
        <v>0</v>
      </c>
      <c r="F120" s="359"/>
      <c r="G120" s="349"/>
      <c r="H120" s="206"/>
      <c r="I120" s="206"/>
      <c r="J120" s="297">
        <f t="shared" si="10"/>
        <v>0</v>
      </c>
      <c r="K120" s="309"/>
      <c r="L120" s="191"/>
      <c r="M120" s="194" t="str">
        <f t="shared" si="11"/>
        <v/>
      </c>
      <c r="N120" s="193" t="str">
        <f t="shared" si="12"/>
        <v/>
      </c>
      <c r="O120" s="195" t="str">
        <f t="shared" si="13"/>
        <v/>
      </c>
      <c r="P120" s="252"/>
      <c r="Q120" s="466"/>
      <c r="R120" s="467"/>
      <c r="S120" s="467"/>
      <c r="T120" s="468"/>
      <c r="U120" s="261"/>
      <c r="V120" s="261"/>
      <c r="W120" s="261"/>
      <c r="X120" s="262"/>
      <c r="Y120" s="261"/>
    </row>
    <row r="121" spans="2:25" ht="15.75" hidden="1" outlineLevel="1" thickBot="1" x14ac:dyDescent="0.3">
      <c r="B121" s="180"/>
      <c r="C121" s="357"/>
      <c r="D121" s="358"/>
      <c r="E121" s="185">
        <f t="shared" si="9"/>
        <v>0</v>
      </c>
      <c r="F121" s="359"/>
      <c r="G121" s="349"/>
      <c r="H121" s="206"/>
      <c r="I121" s="206"/>
      <c r="J121" s="297">
        <f t="shared" si="10"/>
        <v>0</v>
      </c>
      <c r="K121" s="309"/>
      <c r="L121" s="191"/>
      <c r="M121" s="194" t="str">
        <f t="shared" si="11"/>
        <v/>
      </c>
      <c r="N121" s="193" t="str">
        <f t="shared" si="12"/>
        <v/>
      </c>
      <c r="O121" s="195" t="str">
        <f t="shared" si="13"/>
        <v/>
      </c>
      <c r="P121" s="252"/>
      <c r="Q121" s="466"/>
      <c r="R121" s="467"/>
      <c r="S121" s="467"/>
      <c r="T121" s="468"/>
      <c r="U121" s="261"/>
      <c r="V121" s="261"/>
      <c r="W121" s="261"/>
      <c r="X121" s="262"/>
      <c r="Y121" s="261"/>
    </row>
    <row r="122" spans="2:25" ht="15.75" hidden="1" outlineLevel="1" thickBot="1" x14ac:dyDescent="0.3">
      <c r="B122" s="180"/>
      <c r="C122" s="357"/>
      <c r="D122" s="358"/>
      <c r="E122" s="185">
        <f t="shared" si="9"/>
        <v>0</v>
      </c>
      <c r="F122" s="359"/>
      <c r="G122" s="349"/>
      <c r="H122" s="206"/>
      <c r="I122" s="206"/>
      <c r="J122" s="297">
        <f t="shared" si="10"/>
        <v>0</v>
      </c>
      <c r="K122" s="309"/>
      <c r="L122" s="191"/>
      <c r="M122" s="194" t="str">
        <f t="shared" si="11"/>
        <v/>
      </c>
      <c r="N122" s="193" t="str">
        <f t="shared" si="12"/>
        <v/>
      </c>
      <c r="O122" s="195" t="str">
        <f t="shared" si="13"/>
        <v/>
      </c>
      <c r="P122" s="252"/>
      <c r="Q122" s="466"/>
      <c r="R122" s="467"/>
      <c r="S122" s="467"/>
      <c r="T122" s="468"/>
      <c r="U122" s="261"/>
      <c r="V122" s="261"/>
      <c r="W122" s="261"/>
      <c r="X122" s="262"/>
      <c r="Y122" s="261"/>
    </row>
    <row r="123" spans="2:25" ht="15.75" hidden="1" outlineLevel="1" thickBot="1" x14ac:dyDescent="0.3">
      <c r="B123" s="180"/>
      <c r="C123" s="357"/>
      <c r="D123" s="358"/>
      <c r="E123" s="185">
        <f t="shared" si="9"/>
        <v>0</v>
      </c>
      <c r="F123" s="359"/>
      <c r="G123" s="349"/>
      <c r="H123" s="206"/>
      <c r="I123" s="206"/>
      <c r="J123" s="297">
        <f t="shared" si="10"/>
        <v>0</v>
      </c>
      <c r="K123" s="309"/>
      <c r="L123" s="191"/>
      <c r="M123" s="194" t="str">
        <f t="shared" si="11"/>
        <v/>
      </c>
      <c r="N123" s="193" t="str">
        <f t="shared" si="12"/>
        <v/>
      </c>
      <c r="O123" s="195" t="str">
        <f t="shared" si="13"/>
        <v/>
      </c>
      <c r="P123" s="252"/>
      <c r="Q123" s="466"/>
      <c r="R123" s="467"/>
      <c r="S123" s="467"/>
      <c r="T123" s="468"/>
      <c r="U123" s="261"/>
      <c r="V123" s="261"/>
      <c r="W123" s="261"/>
      <c r="X123" s="262"/>
      <c r="Y123" s="261"/>
    </row>
    <row r="124" spans="2:25" ht="15.75" hidden="1" outlineLevel="1" thickBot="1" x14ac:dyDescent="0.3">
      <c r="B124" s="180"/>
      <c r="C124" s="357"/>
      <c r="D124" s="358"/>
      <c r="E124" s="185">
        <f t="shared" si="9"/>
        <v>0</v>
      </c>
      <c r="F124" s="359"/>
      <c r="G124" s="349"/>
      <c r="H124" s="206"/>
      <c r="I124" s="206"/>
      <c r="J124" s="297">
        <f t="shared" si="10"/>
        <v>0</v>
      </c>
      <c r="K124" s="309"/>
      <c r="L124" s="191"/>
      <c r="M124" s="194" t="str">
        <f t="shared" si="11"/>
        <v/>
      </c>
      <c r="N124" s="193" t="str">
        <f t="shared" si="12"/>
        <v/>
      </c>
      <c r="O124" s="195" t="str">
        <f t="shared" si="13"/>
        <v/>
      </c>
      <c r="P124" s="252"/>
      <c r="Q124" s="466"/>
      <c r="R124" s="467"/>
      <c r="S124" s="467"/>
      <c r="T124" s="468"/>
      <c r="U124" s="261"/>
      <c r="V124" s="261"/>
      <c r="W124" s="261"/>
      <c r="X124" s="262"/>
      <c r="Y124" s="261"/>
    </row>
    <row r="125" spans="2:25" ht="15.75" hidden="1" outlineLevel="1" thickBot="1" x14ac:dyDescent="0.3">
      <c r="B125" s="180"/>
      <c r="C125" s="357"/>
      <c r="D125" s="358"/>
      <c r="E125" s="185">
        <f t="shared" si="9"/>
        <v>0</v>
      </c>
      <c r="F125" s="359"/>
      <c r="G125" s="349"/>
      <c r="H125" s="206"/>
      <c r="I125" s="206"/>
      <c r="J125" s="297">
        <f t="shared" si="10"/>
        <v>0</v>
      </c>
      <c r="K125" s="309"/>
      <c r="L125" s="191"/>
      <c r="M125" s="194" t="str">
        <f t="shared" si="11"/>
        <v/>
      </c>
      <c r="N125" s="193" t="str">
        <f t="shared" si="12"/>
        <v/>
      </c>
      <c r="O125" s="195" t="str">
        <f t="shared" si="13"/>
        <v/>
      </c>
      <c r="P125" s="252"/>
      <c r="Q125" s="466"/>
      <c r="R125" s="467"/>
      <c r="S125" s="467"/>
      <c r="T125" s="468"/>
      <c r="U125" s="261"/>
      <c r="V125" s="261"/>
      <c r="W125" s="261"/>
      <c r="X125" s="262"/>
      <c r="Y125" s="261"/>
    </row>
    <row r="126" spans="2:25" ht="15.75" hidden="1" outlineLevel="1" thickBot="1" x14ac:dyDescent="0.3">
      <c r="B126" s="180"/>
      <c r="C126" s="357"/>
      <c r="D126" s="358"/>
      <c r="E126" s="185">
        <f t="shared" si="9"/>
        <v>0</v>
      </c>
      <c r="F126" s="359"/>
      <c r="G126" s="349"/>
      <c r="H126" s="206"/>
      <c r="I126" s="206"/>
      <c r="J126" s="297">
        <f t="shared" si="10"/>
        <v>0</v>
      </c>
      <c r="K126" s="309"/>
      <c r="L126" s="191"/>
      <c r="M126" s="194" t="str">
        <f t="shared" si="11"/>
        <v/>
      </c>
      <c r="N126" s="193" t="str">
        <f t="shared" si="12"/>
        <v/>
      </c>
      <c r="O126" s="195" t="str">
        <f t="shared" si="13"/>
        <v/>
      </c>
      <c r="P126" s="252"/>
      <c r="Q126" s="466"/>
      <c r="R126" s="467"/>
      <c r="S126" s="467"/>
      <c r="T126" s="468"/>
      <c r="U126" s="261"/>
      <c r="V126" s="261"/>
      <c r="W126" s="261"/>
      <c r="X126" s="262"/>
      <c r="Y126" s="261"/>
    </row>
    <row r="127" spans="2:25" ht="15.75" hidden="1" outlineLevel="1" thickBot="1" x14ac:dyDescent="0.3">
      <c r="B127" s="180"/>
      <c r="C127" s="357"/>
      <c r="D127" s="358"/>
      <c r="E127" s="185">
        <f t="shared" si="9"/>
        <v>0</v>
      </c>
      <c r="F127" s="359"/>
      <c r="G127" s="349"/>
      <c r="H127" s="206"/>
      <c r="I127" s="206"/>
      <c r="J127" s="297">
        <f t="shared" si="10"/>
        <v>0</v>
      </c>
      <c r="K127" s="309"/>
      <c r="L127" s="191"/>
      <c r="M127" s="194" t="str">
        <f t="shared" si="11"/>
        <v/>
      </c>
      <c r="N127" s="193" t="str">
        <f t="shared" si="12"/>
        <v/>
      </c>
      <c r="O127" s="195" t="str">
        <f t="shared" si="13"/>
        <v/>
      </c>
      <c r="P127" s="252"/>
      <c r="Q127" s="466"/>
      <c r="R127" s="467"/>
      <c r="S127" s="467"/>
      <c r="T127" s="468"/>
      <c r="U127" s="261"/>
      <c r="V127" s="261"/>
      <c r="W127" s="261"/>
      <c r="X127" s="262"/>
      <c r="Y127" s="261"/>
    </row>
    <row r="128" spans="2:25" ht="15.75" hidden="1" outlineLevel="1" thickBot="1" x14ac:dyDescent="0.3">
      <c r="B128" s="180"/>
      <c r="C128" s="357"/>
      <c r="D128" s="358"/>
      <c r="E128" s="185">
        <f t="shared" si="9"/>
        <v>0</v>
      </c>
      <c r="F128" s="359"/>
      <c r="G128" s="349"/>
      <c r="H128" s="206"/>
      <c r="I128" s="206"/>
      <c r="J128" s="297">
        <f t="shared" si="10"/>
        <v>0</v>
      </c>
      <c r="K128" s="309"/>
      <c r="L128" s="191"/>
      <c r="M128" s="194" t="str">
        <f t="shared" si="11"/>
        <v/>
      </c>
      <c r="N128" s="193" t="str">
        <f t="shared" si="12"/>
        <v/>
      </c>
      <c r="O128" s="195" t="str">
        <f t="shared" si="13"/>
        <v/>
      </c>
      <c r="P128" s="252"/>
      <c r="Q128" s="466"/>
      <c r="R128" s="467"/>
      <c r="S128" s="467"/>
      <c r="T128" s="468"/>
      <c r="U128" s="261"/>
      <c r="V128" s="261"/>
      <c r="W128" s="261"/>
      <c r="X128" s="262"/>
      <c r="Y128" s="261"/>
    </row>
    <row r="129" spans="2:25" ht="15.75" hidden="1" outlineLevel="1" thickBot="1" x14ac:dyDescent="0.3">
      <c r="B129" s="180"/>
      <c r="C129" s="357"/>
      <c r="D129" s="358"/>
      <c r="E129" s="185">
        <f t="shared" si="9"/>
        <v>0</v>
      </c>
      <c r="F129" s="359"/>
      <c r="G129" s="349"/>
      <c r="H129" s="206"/>
      <c r="I129" s="206"/>
      <c r="J129" s="297">
        <f t="shared" si="10"/>
        <v>0</v>
      </c>
      <c r="K129" s="309"/>
      <c r="L129" s="191"/>
      <c r="M129" s="194" t="str">
        <f t="shared" si="11"/>
        <v/>
      </c>
      <c r="N129" s="193" t="str">
        <f t="shared" si="12"/>
        <v/>
      </c>
      <c r="O129" s="195" t="str">
        <f t="shared" si="13"/>
        <v/>
      </c>
      <c r="P129" s="252"/>
      <c r="Q129" s="466"/>
      <c r="R129" s="467"/>
      <c r="S129" s="467"/>
      <c r="T129" s="468"/>
      <c r="U129" s="261"/>
      <c r="V129" s="261"/>
      <c r="W129" s="261"/>
      <c r="X129" s="262"/>
      <c r="Y129" s="261"/>
    </row>
    <row r="130" spans="2:25" ht="15.75" hidden="1" outlineLevel="1" thickBot="1" x14ac:dyDescent="0.3">
      <c r="B130" s="180"/>
      <c r="C130" s="357"/>
      <c r="D130" s="358"/>
      <c r="E130" s="185">
        <f t="shared" si="9"/>
        <v>0</v>
      </c>
      <c r="F130" s="359"/>
      <c r="G130" s="349"/>
      <c r="H130" s="206"/>
      <c r="I130" s="206"/>
      <c r="J130" s="297">
        <f t="shared" si="10"/>
        <v>0</v>
      </c>
      <c r="K130" s="309"/>
      <c r="L130" s="191"/>
      <c r="M130" s="194" t="str">
        <f t="shared" si="11"/>
        <v/>
      </c>
      <c r="N130" s="193" t="str">
        <f t="shared" si="12"/>
        <v/>
      </c>
      <c r="O130" s="195" t="str">
        <f t="shared" si="13"/>
        <v/>
      </c>
      <c r="P130" s="252"/>
      <c r="Q130" s="466"/>
      <c r="R130" s="467"/>
      <c r="S130" s="467"/>
      <c r="T130" s="468"/>
      <c r="U130" s="261"/>
      <c r="V130" s="261"/>
      <c r="W130" s="261"/>
      <c r="X130" s="262"/>
      <c r="Y130" s="261"/>
    </row>
    <row r="131" spans="2:25" ht="15.75" hidden="1" outlineLevel="1" thickBot="1" x14ac:dyDescent="0.3">
      <c r="B131" s="180"/>
      <c r="C131" s="357"/>
      <c r="D131" s="358"/>
      <c r="E131" s="185">
        <f t="shared" si="9"/>
        <v>0</v>
      </c>
      <c r="F131" s="359"/>
      <c r="G131" s="349"/>
      <c r="H131" s="206"/>
      <c r="I131" s="206"/>
      <c r="J131" s="297">
        <f t="shared" si="10"/>
        <v>0</v>
      </c>
      <c r="K131" s="309"/>
      <c r="L131" s="191"/>
      <c r="M131" s="194" t="str">
        <f t="shared" si="11"/>
        <v/>
      </c>
      <c r="N131" s="193" t="str">
        <f t="shared" si="12"/>
        <v/>
      </c>
      <c r="O131" s="195" t="str">
        <f t="shared" si="13"/>
        <v/>
      </c>
      <c r="P131" s="252"/>
      <c r="Q131" s="466"/>
      <c r="R131" s="467"/>
      <c r="S131" s="467"/>
      <c r="T131" s="468"/>
      <c r="U131" s="261"/>
      <c r="V131" s="261"/>
      <c r="W131" s="261"/>
      <c r="X131" s="262"/>
      <c r="Y131" s="261"/>
    </row>
    <row r="132" spans="2:25" ht="15.75" hidden="1" outlineLevel="1" thickBot="1" x14ac:dyDescent="0.3">
      <c r="B132" s="180"/>
      <c r="C132" s="357"/>
      <c r="D132" s="358"/>
      <c r="E132" s="185">
        <f t="shared" si="9"/>
        <v>0</v>
      </c>
      <c r="F132" s="359"/>
      <c r="G132" s="349"/>
      <c r="H132" s="206"/>
      <c r="I132" s="206"/>
      <c r="J132" s="297">
        <f t="shared" si="10"/>
        <v>0</v>
      </c>
      <c r="K132" s="309"/>
      <c r="L132" s="191"/>
      <c r="M132" s="194" t="str">
        <f t="shared" si="11"/>
        <v/>
      </c>
      <c r="N132" s="193" t="str">
        <f t="shared" si="12"/>
        <v/>
      </c>
      <c r="O132" s="195" t="str">
        <f t="shared" si="13"/>
        <v/>
      </c>
      <c r="P132" s="252"/>
      <c r="Q132" s="466"/>
      <c r="R132" s="467"/>
      <c r="S132" s="467"/>
      <c r="T132" s="468"/>
      <c r="U132" s="261"/>
      <c r="V132" s="261"/>
      <c r="W132" s="261"/>
      <c r="X132" s="262"/>
      <c r="Y132" s="261"/>
    </row>
    <row r="133" spans="2:25" ht="15.75" hidden="1" outlineLevel="1" thickBot="1" x14ac:dyDescent="0.3">
      <c r="B133" s="180"/>
      <c r="C133" s="357"/>
      <c r="D133" s="358"/>
      <c r="E133" s="185">
        <f t="shared" si="9"/>
        <v>0</v>
      </c>
      <c r="F133" s="359"/>
      <c r="G133" s="349"/>
      <c r="H133" s="206"/>
      <c r="I133" s="206"/>
      <c r="J133" s="297">
        <f t="shared" si="10"/>
        <v>0</v>
      </c>
      <c r="K133" s="309"/>
      <c r="L133" s="191"/>
      <c r="M133" s="194" t="str">
        <f t="shared" si="11"/>
        <v/>
      </c>
      <c r="N133" s="193" t="str">
        <f t="shared" si="12"/>
        <v/>
      </c>
      <c r="O133" s="195" t="str">
        <f t="shared" si="13"/>
        <v/>
      </c>
      <c r="P133" s="252"/>
      <c r="Q133" s="466"/>
      <c r="R133" s="467"/>
      <c r="S133" s="467"/>
      <c r="T133" s="468"/>
      <c r="U133" s="261"/>
      <c r="V133" s="261"/>
      <c r="W133" s="261"/>
      <c r="X133" s="262"/>
      <c r="Y133" s="261"/>
    </row>
    <row r="134" spans="2:25" ht="15.75" hidden="1" outlineLevel="1" thickBot="1" x14ac:dyDescent="0.3">
      <c r="B134" s="180"/>
      <c r="C134" s="357"/>
      <c r="D134" s="358"/>
      <c r="E134" s="185">
        <f t="shared" si="9"/>
        <v>0</v>
      </c>
      <c r="F134" s="359"/>
      <c r="G134" s="349"/>
      <c r="H134" s="206"/>
      <c r="I134" s="206"/>
      <c r="J134" s="297">
        <f t="shared" si="10"/>
        <v>0</v>
      </c>
      <c r="K134" s="309"/>
      <c r="L134" s="191"/>
      <c r="M134" s="194" t="str">
        <f t="shared" si="11"/>
        <v/>
      </c>
      <c r="N134" s="193" t="str">
        <f t="shared" si="12"/>
        <v/>
      </c>
      <c r="O134" s="195" t="str">
        <f t="shared" si="13"/>
        <v/>
      </c>
      <c r="P134" s="252"/>
      <c r="Q134" s="466"/>
      <c r="R134" s="467"/>
      <c r="S134" s="467"/>
      <c r="T134" s="468"/>
      <c r="U134" s="261"/>
      <c r="V134" s="261"/>
      <c r="W134" s="261"/>
      <c r="X134" s="262"/>
      <c r="Y134" s="261"/>
    </row>
    <row r="135" spans="2:25" ht="15.75" hidden="1" outlineLevel="1" thickBot="1" x14ac:dyDescent="0.3">
      <c r="B135" s="180"/>
      <c r="C135" s="357"/>
      <c r="D135" s="358"/>
      <c r="E135" s="185">
        <f t="shared" si="9"/>
        <v>0</v>
      </c>
      <c r="F135" s="359"/>
      <c r="G135" s="349"/>
      <c r="H135" s="206"/>
      <c r="I135" s="206"/>
      <c r="J135" s="297">
        <f t="shared" si="10"/>
        <v>0</v>
      </c>
      <c r="K135" s="309"/>
      <c r="L135" s="191"/>
      <c r="M135" s="194" t="str">
        <f t="shared" si="11"/>
        <v/>
      </c>
      <c r="N135" s="193" t="str">
        <f t="shared" si="12"/>
        <v/>
      </c>
      <c r="O135" s="195" t="str">
        <f t="shared" si="13"/>
        <v/>
      </c>
      <c r="P135" s="252"/>
      <c r="Q135" s="466"/>
      <c r="R135" s="467"/>
      <c r="S135" s="467"/>
      <c r="T135" s="468"/>
      <c r="U135" s="261"/>
      <c r="V135" s="261"/>
      <c r="W135" s="261"/>
      <c r="X135" s="262"/>
      <c r="Y135" s="261"/>
    </row>
    <row r="136" spans="2:25" ht="15.75" hidden="1" outlineLevel="1" thickBot="1" x14ac:dyDescent="0.3">
      <c r="B136" s="180"/>
      <c r="C136" s="357"/>
      <c r="D136" s="358"/>
      <c r="E136" s="185">
        <f t="shared" si="9"/>
        <v>0</v>
      </c>
      <c r="F136" s="359"/>
      <c r="G136" s="349"/>
      <c r="H136" s="206"/>
      <c r="I136" s="206"/>
      <c r="J136" s="297">
        <f t="shared" si="10"/>
        <v>0</v>
      </c>
      <c r="K136" s="309"/>
      <c r="L136" s="191"/>
      <c r="M136" s="194" t="str">
        <f t="shared" si="11"/>
        <v/>
      </c>
      <c r="N136" s="193" t="str">
        <f t="shared" si="12"/>
        <v/>
      </c>
      <c r="O136" s="195" t="str">
        <f t="shared" si="13"/>
        <v/>
      </c>
      <c r="P136" s="252"/>
      <c r="Q136" s="466"/>
      <c r="R136" s="467"/>
      <c r="S136" s="467"/>
      <c r="T136" s="468"/>
      <c r="U136" s="261"/>
      <c r="V136" s="261"/>
      <c r="W136" s="261"/>
      <c r="X136" s="262"/>
      <c r="Y136" s="261"/>
    </row>
    <row r="137" spans="2:25" ht="15.75" hidden="1" outlineLevel="1" thickBot="1" x14ac:dyDescent="0.3">
      <c r="B137" s="180"/>
      <c r="C137" s="357"/>
      <c r="D137" s="358"/>
      <c r="E137" s="185">
        <f t="shared" si="9"/>
        <v>0</v>
      </c>
      <c r="F137" s="359"/>
      <c r="G137" s="349"/>
      <c r="H137" s="206"/>
      <c r="I137" s="206"/>
      <c r="J137" s="297">
        <f t="shared" si="10"/>
        <v>0</v>
      </c>
      <c r="K137" s="309"/>
      <c r="L137" s="191"/>
      <c r="M137" s="194" t="str">
        <f t="shared" si="11"/>
        <v/>
      </c>
      <c r="N137" s="193" t="str">
        <f t="shared" si="12"/>
        <v/>
      </c>
      <c r="O137" s="195" t="str">
        <f t="shared" si="13"/>
        <v/>
      </c>
      <c r="P137" s="252"/>
      <c r="Q137" s="466"/>
      <c r="R137" s="467"/>
      <c r="S137" s="467"/>
      <c r="T137" s="468"/>
      <c r="U137" s="261"/>
      <c r="V137" s="261"/>
      <c r="W137" s="261"/>
      <c r="X137" s="262"/>
      <c r="Y137" s="261"/>
    </row>
    <row r="138" spans="2:25" ht="15.75" hidden="1" outlineLevel="1" thickBot="1" x14ac:dyDescent="0.3">
      <c r="B138" s="180"/>
      <c r="C138" s="357"/>
      <c r="D138" s="358"/>
      <c r="E138" s="185">
        <f t="shared" si="9"/>
        <v>0</v>
      </c>
      <c r="F138" s="359"/>
      <c r="G138" s="349"/>
      <c r="H138" s="206"/>
      <c r="I138" s="206"/>
      <c r="J138" s="297">
        <f t="shared" si="10"/>
        <v>0</v>
      </c>
      <c r="K138" s="309"/>
      <c r="L138" s="191"/>
      <c r="M138" s="194" t="str">
        <f t="shared" si="11"/>
        <v/>
      </c>
      <c r="N138" s="193" t="str">
        <f t="shared" si="12"/>
        <v/>
      </c>
      <c r="O138" s="195" t="str">
        <f t="shared" si="13"/>
        <v/>
      </c>
      <c r="P138" s="252"/>
      <c r="Q138" s="466"/>
      <c r="R138" s="467"/>
      <c r="S138" s="467"/>
      <c r="T138" s="468"/>
      <c r="U138" s="261"/>
      <c r="V138" s="261"/>
      <c r="W138" s="261"/>
      <c r="X138" s="262"/>
      <c r="Y138" s="261"/>
    </row>
    <row r="139" spans="2:25" ht="15.75" hidden="1" outlineLevel="1" thickBot="1" x14ac:dyDescent="0.3">
      <c r="B139" s="180"/>
      <c r="C139" s="357"/>
      <c r="D139" s="358"/>
      <c r="E139" s="185">
        <f t="shared" si="9"/>
        <v>0</v>
      </c>
      <c r="F139" s="359"/>
      <c r="G139" s="349"/>
      <c r="H139" s="206"/>
      <c r="I139" s="206"/>
      <c r="J139" s="297">
        <f t="shared" si="10"/>
        <v>0</v>
      </c>
      <c r="K139" s="309"/>
      <c r="L139" s="191"/>
      <c r="M139" s="194" t="str">
        <f t="shared" si="11"/>
        <v/>
      </c>
      <c r="N139" s="193" t="str">
        <f t="shared" si="12"/>
        <v/>
      </c>
      <c r="O139" s="195" t="str">
        <f t="shared" si="13"/>
        <v/>
      </c>
      <c r="P139" s="252"/>
      <c r="Q139" s="466"/>
      <c r="R139" s="467"/>
      <c r="S139" s="467"/>
      <c r="T139" s="468"/>
      <c r="U139" s="261"/>
      <c r="V139" s="261"/>
      <c r="W139" s="261"/>
      <c r="X139" s="262"/>
      <c r="Y139" s="261"/>
    </row>
    <row r="140" spans="2:25" ht="15.75" hidden="1" outlineLevel="1" thickBot="1" x14ac:dyDescent="0.3">
      <c r="B140" s="180"/>
      <c r="C140" s="357"/>
      <c r="D140" s="358"/>
      <c r="E140" s="185">
        <f t="shared" si="9"/>
        <v>0</v>
      </c>
      <c r="F140" s="359"/>
      <c r="G140" s="349"/>
      <c r="H140" s="206"/>
      <c r="I140" s="206"/>
      <c r="J140" s="297">
        <f t="shared" si="10"/>
        <v>0</v>
      </c>
      <c r="K140" s="309"/>
      <c r="L140" s="191"/>
      <c r="M140" s="194" t="str">
        <f t="shared" si="11"/>
        <v/>
      </c>
      <c r="N140" s="193" t="str">
        <f t="shared" si="12"/>
        <v/>
      </c>
      <c r="O140" s="195" t="str">
        <f t="shared" si="13"/>
        <v/>
      </c>
      <c r="P140" s="252"/>
      <c r="Q140" s="466"/>
      <c r="R140" s="467"/>
      <c r="S140" s="467"/>
      <c r="T140" s="468"/>
      <c r="U140" s="261"/>
      <c r="V140" s="261"/>
      <c r="W140" s="261"/>
      <c r="X140" s="262"/>
      <c r="Y140" s="261"/>
    </row>
    <row r="141" spans="2:25" ht="15.75" hidden="1" outlineLevel="1" thickBot="1" x14ac:dyDescent="0.3">
      <c r="B141" s="180"/>
      <c r="C141" s="357"/>
      <c r="D141" s="358"/>
      <c r="E141" s="185">
        <f t="shared" si="9"/>
        <v>0</v>
      </c>
      <c r="F141" s="359"/>
      <c r="G141" s="349"/>
      <c r="H141" s="206"/>
      <c r="I141" s="206"/>
      <c r="J141" s="297">
        <f t="shared" si="10"/>
        <v>0</v>
      </c>
      <c r="K141" s="309"/>
      <c r="L141" s="191"/>
      <c r="M141" s="194" t="str">
        <f t="shared" si="11"/>
        <v/>
      </c>
      <c r="N141" s="193" t="str">
        <f t="shared" si="12"/>
        <v/>
      </c>
      <c r="O141" s="195" t="str">
        <f t="shared" si="13"/>
        <v/>
      </c>
      <c r="P141" s="252"/>
      <c r="Q141" s="466"/>
      <c r="R141" s="467"/>
      <c r="S141" s="467"/>
      <c r="T141" s="468"/>
      <c r="U141" s="261"/>
      <c r="V141" s="261"/>
      <c r="W141" s="261"/>
      <c r="X141" s="262"/>
      <c r="Y141" s="261"/>
    </row>
    <row r="142" spans="2:25" ht="15.75" hidden="1" outlineLevel="1" thickBot="1" x14ac:dyDescent="0.3">
      <c r="B142" s="180"/>
      <c r="C142" s="357"/>
      <c r="D142" s="358"/>
      <c r="E142" s="185">
        <f t="shared" si="9"/>
        <v>0</v>
      </c>
      <c r="F142" s="359"/>
      <c r="G142" s="349"/>
      <c r="H142" s="206"/>
      <c r="I142" s="206"/>
      <c r="J142" s="297">
        <f t="shared" si="10"/>
        <v>0</v>
      </c>
      <c r="K142" s="309"/>
      <c r="L142" s="191"/>
      <c r="M142" s="194" t="str">
        <f t="shared" si="11"/>
        <v/>
      </c>
      <c r="N142" s="193" t="str">
        <f t="shared" si="12"/>
        <v/>
      </c>
      <c r="O142" s="195" t="str">
        <f t="shared" si="13"/>
        <v/>
      </c>
      <c r="P142" s="252"/>
      <c r="Q142" s="466"/>
      <c r="R142" s="467"/>
      <c r="S142" s="467"/>
      <c r="T142" s="468"/>
      <c r="U142" s="261"/>
      <c r="V142" s="261"/>
      <c r="W142" s="261"/>
      <c r="X142" s="262"/>
      <c r="Y142" s="261"/>
    </row>
    <row r="143" spans="2:25" ht="15.75" hidden="1" outlineLevel="1" thickBot="1" x14ac:dyDescent="0.3">
      <c r="B143" s="180"/>
      <c r="C143" s="357"/>
      <c r="D143" s="358"/>
      <c r="E143" s="185">
        <f t="shared" si="9"/>
        <v>0</v>
      </c>
      <c r="F143" s="359"/>
      <c r="G143" s="349"/>
      <c r="H143" s="206"/>
      <c r="I143" s="206"/>
      <c r="J143" s="297">
        <f t="shared" si="10"/>
        <v>0</v>
      </c>
      <c r="K143" s="309"/>
      <c r="L143" s="191"/>
      <c r="M143" s="194" t="str">
        <f t="shared" si="11"/>
        <v/>
      </c>
      <c r="N143" s="193" t="str">
        <f t="shared" si="12"/>
        <v/>
      </c>
      <c r="O143" s="195" t="str">
        <f t="shared" si="13"/>
        <v/>
      </c>
      <c r="P143" s="252"/>
      <c r="Q143" s="466"/>
      <c r="R143" s="467"/>
      <c r="S143" s="467"/>
      <c r="T143" s="468"/>
      <c r="U143" s="261"/>
      <c r="V143" s="261"/>
      <c r="W143" s="261"/>
      <c r="X143" s="262"/>
      <c r="Y143" s="261"/>
    </row>
    <row r="144" spans="2:25" ht="15.75" hidden="1" outlineLevel="1" thickBot="1" x14ac:dyDescent="0.3">
      <c r="B144" s="180"/>
      <c r="C144" s="357"/>
      <c r="D144" s="358"/>
      <c r="E144" s="185">
        <f t="shared" si="9"/>
        <v>0</v>
      </c>
      <c r="F144" s="359"/>
      <c r="G144" s="349"/>
      <c r="H144" s="206"/>
      <c r="I144" s="206"/>
      <c r="J144" s="297">
        <f t="shared" si="10"/>
        <v>0</v>
      </c>
      <c r="K144" s="309"/>
      <c r="L144" s="191"/>
      <c r="M144" s="194" t="str">
        <f t="shared" si="11"/>
        <v/>
      </c>
      <c r="N144" s="193" t="str">
        <f t="shared" si="12"/>
        <v/>
      </c>
      <c r="O144" s="195" t="str">
        <f t="shared" si="13"/>
        <v/>
      </c>
      <c r="P144" s="252"/>
      <c r="Q144" s="466"/>
      <c r="R144" s="467"/>
      <c r="S144" s="467"/>
      <c r="T144" s="468"/>
      <c r="U144" s="261"/>
      <c r="V144" s="261"/>
      <c r="W144" s="261"/>
      <c r="X144" s="262"/>
      <c r="Y144" s="261"/>
    </row>
    <row r="145" spans="2:25" ht="15.75" hidden="1" outlineLevel="1" thickBot="1" x14ac:dyDescent="0.3">
      <c r="B145" s="180"/>
      <c r="C145" s="357"/>
      <c r="D145" s="358"/>
      <c r="E145" s="185">
        <f t="shared" si="9"/>
        <v>0</v>
      </c>
      <c r="F145" s="359"/>
      <c r="G145" s="349"/>
      <c r="H145" s="206"/>
      <c r="I145" s="206"/>
      <c r="J145" s="297">
        <f t="shared" si="10"/>
        <v>0</v>
      </c>
      <c r="K145" s="309"/>
      <c r="L145" s="191"/>
      <c r="M145" s="194" t="str">
        <f t="shared" si="11"/>
        <v/>
      </c>
      <c r="N145" s="193" t="str">
        <f t="shared" si="12"/>
        <v/>
      </c>
      <c r="O145" s="195" t="str">
        <f t="shared" si="13"/>
        <v/>
      </c>
      <c r="P145" s="252"/>
      <c r="Q145" s="466"/>
      <c r="R145" s="467"/>
      <c r="S145" s="467"/>
      <c r="T145" s="468"/>
      <c r="U145" s="261"/>
      <c r="V145" s="261"/>
      <c r="W145" s="261"/>
      <c r="X145" s="262"/>
      <c r="Y145" s="261"/>
    </row>
    <row r="146" spans="2:25" ht="15.75" hidden="1" outlineLevel="1" thickBot="1" x14ac:dyDescent="0.3">
      <c r="B146" s="180"/>
      <c r="C146" s="357"/>
      <c r="D146" s="358"/>
      <c r="E146" s="185">
        <f t="shared" si="9"/>
        <v>0</v>
      </c>
      <c r="F146" s="359"/>
      <c r="G146" s="349"/>
      <c r="H146" s="206"/>
      <c r="I146" s="206"/>
      <c r="J146" s="297">
        <f t="shared" si="10"/>
        <v>0</v>
      </c>
      <c r="K146" s="309"/>
      <c r="L146" s="191"/>
      <c r="M146" s="194" t="str">
        <f t="shared" si="11"/>
        <v/>
      </c>
      <c r="N146" s="193" t="str">
        <f t="shared" si="12"/>
        <v/>
      </c>
      <c r="O146" s="195" t="str">
        <f t="shared" si="13"/>
        <v/>
      </c>
      <c r="P146" s="252"/>
      <c r="Q146" s="466"/>
      <c r="R146" s="467"/>
      <c r="S146" s="467"/>
      <c r="T146" s="468"/>
      <c r="U146" s="261"/>
      <c r="V146" s="261"/>
      <c r="W146" s="261"/>
      <c r="X146" s="262"/>
      <c r="Y146" s="261"/>
    </row>
    <row r="147" spans="2:25" ht="15.75" hidden="1" outlineLevel="1" thickBot="1" x14ac:dyDescent="0.3">
      <c r="B147" s="180"/>
      <c r="C147" s="357"/>
      <c r="D147" s="358"/>
      <c r="E147" s="185">
        <f t="shared" si="9"/>
        <v>0</v>
      </c>
      <c r="F147" s="359"/>
      <c r="G147" s="349"/>
      <c r="H147" s="206"/>
      <c r="I147" s="206"/>
      <c r="J147" s="297">
        <f t="shared" si="10"/>
        <v>0</v>
      </c>
      <c r="K147" s="309"/>
      <c r="L147" s="191"/>
      <c r="M147" s="194" t="str">
        <f t="shared" si="11"/>
        <v/>
      </c>
      <c r="N147" s="193" t="str">
        <f t="shared" si="12"/>
        <v/>
      </c>
      <c r="O147" s="195" t="str">
        <f t="shared" si="13"/>
        <v/>
      </c>
      <c r="P147" s="252"/>
      <c r="Q147" s="466"/>
      <c r="R147" s="467"/>
      <c r="S147" s="467"/>
      <c r="T147" s="468"/>
      <c r="U147" s="261"/>
      <c r="V147" s="261"/>
      <c r="W147" s="261"/>
      <c r="X147" s="262"/>
      <c r="Y147" s="261"/>
    </row>
    <row r="148" spans="2:25" ht="15.75" hidden="1" outlineLevel="1" thickBot="1" x14ac:dyDescent="0.3">
      <c r="B148" s="180"/>
      <c r="C148" s="357"/>
      <c r="D148" s="358"/>
      <c r="E148" s="185">
        <f t="shared" si="9"/>
        <v>0</v>
      </c>
      <c r="F148" s="359"/>
      <c r="G148" s="349"/>
      <c r="H148" s="206"/>
      <c r="I148" s="206"/>
      <c r="J148" s="297">
        <f t="shared" si="10"/>
        <v>0</v>
      </c>
      <c r="K148" s="309"/>
      <c r="L148" s="191"/>
      <c r="M148" s="194" t="str">
        <f t="shared" si="11"/>
        <v/>
      </c>
      <c r="N148" s="193" t="str">
        <f t="shared" si="12"/>
        <v/>
      </c>
      <c r="O148" s="195" t="str">
        <f t="shared" si="13"/>
        <v/>
      </c>
      <c r="P148" s="252"/>
      <c r="Q148" s="466"/>
      <c r="R148" s="467"/>
      <c r="S148" s="467"/>
      <c r="T148" s="468"/>
      <c r="U148" s="261"/>
      <c r="V148" s="261"/>
      <c r="W148" s="261"/>
      <c r="X148" s="262"/>
      <c r="Y148" s="261"/>
    </row>
    <row r="149" spans="2:25" ht="15.75" hidden="1" outlineLevel="1" thickBot="1" x14ac:dyDescent="0.3">
      <c r="B149" s="180"/>
      <c r="C149" s="357"/>
      <c r="D149" s="358"/>
      <c r="E149" s="185">
        <f t="shared" si="9"/>
        <v>0</v>
      </c>
      <c r="F149" s="359"/>
      <c r="G149" s="349"/>
      <c r="H149" s="206"/>
      <c r="I149" s="206"/>
      <c r="J149" s="297">
        <f t="shared" si="10"/>
        <v>0</v>
      </c>
      <c r="K149" s="309"/>
      <c r="L149" s="191"/>
      <c r="M149" s="194" t="str">
        <f t="shared" si="11"/>
        <v/>
      </c>
      <c r="N149" s="193" t="str">
        <f t="shared" si="12"/>
        <v/>
      </c>
      <c r="O149" s="195" t="str">
        <f t="shared" si="13"/>
        <v/>
      </c>
      <c r="P149" s="252"/>
      <c r="Q149" s="466"/>
      <c r="R149" s="467"/>
      <c r="S149" s="467"/>
      <c r="T149" s="468"/>
      <c r="U149" s="261"/>
      <c r="V149" s="261"/>
      <c r="W149" s="261"/>
      <c r="X149" s="262"/>
      <c r="Y149" s="261"/>
    </row>
    <row r="150" spans="2:25" ht="15.75" hidden="1" outlineLevel="1" thickBot="1" x14ac:dyDescent="0.3">
      <c r="B150" s="180"/>
      <c r="C150" s="357"/>
      <c r="D150" s="358"/>
      <c r="E150" s="185">
        <f t="shared" si="9"/>
        <v>0</v>
      </c>
      <c r="F150" s="359"/>
      <c r="G150" s="349"/>
      <c r="H150" s="206"/>
      <c r="I150" s="206"/>
      <c r="J150" s="297">
        <f t="shared" si="10"/>
        <v>0</v>
      </c>
      <c r="K150" s="309"/>
      <c r="L150" s="191"/>
      <c r="M150" s="194" t="str">
        <f t="shared" si="11"/>
        <v/>
      </c>
      <c r="N150" s="193" t="str">
        <f t="shared" si="12"/>
        <v/>
      </c>
      <c r="O150" s="195" t="str">
        <f t="shared" si="13"/>
        <v/>
      </c>
      <c r="P150" s="252"/>
      <c r="Q150" s="466"/>
      <c r="R150" s="467"/>
      <c r="S150" s="467"/>
      <c r="T150" s="468"/>
      <c r="U150" s="261"/>
      <c r="V150" s="261"/>
      <c r="W150" s="261"/>
      <c r="X150" s="262"/>
      <c r="Y150" s="261"/>
    </row>
    <row r="151" spans="2:25" ht="15.75" hidden="1" outlineLevel="1" thickBot="1" x14ac:dyDescent="0.3">
      <c r="B151" s="180"/>
      <c r="C151" s="357"/>
      <c r="D151" s="358"/>
      <c r="E151" s="185">
        <f t="shared" si="9"/>
        <v>0</v>
      </c>
      <c r="F151" s="359"/>
      <c r="G151" s="349"/>
      <c r="H151" s="206"/>
      <c r="I151" s="206"/>
      <c r="J151" s="297">
        <f t="shared" si="10"/>
        <v>0</v>
      </c>
      <c r="K151" s="309"/>
      <c r="L151" s="191"/>
      <c r="M151" s="194" t="str">
        <f t="shared" si="11"/>
        <v/>
      </c>
      <c r="N151" s="193" t="str">
        <f t="shared" si="12"/>
        <v/>
      </c>
      <c r="O151" s="195" t="str">
        <f t="shared" si="13"/>
        <v/>
      </c>
      <c r="P151" s="252"/>
      <c r="Q151" s="466"/>
      <c r="R151" s="467"/>
      <c r="S151" s="467"/>
      <c r="T151" s="468"/>
      <c r="U151" s="261"/>
      <c r="V151" s="261"/>
      <c r="W151" s="261"/>
      <c r="X151" s="262"/>
      <c r="Y151" s="261"/>
    </row>
    <row r="152" spans="2:25" ht="15.75" hidden="1" outlineLevel="1" thickBot="1" x14ac:dyDescent="0.3">
      <c r="B152" s="180"/>
      <c r="C152" s="357"/>
      <c r="D152" s="358"/>
      <c r="E152" s="185">
        <f t="shared" si="9"/>
        <v>0</v>
      </c>
      <c r="F152" s="359"/>
      <c r="G152" s="349"/>
      <c r="H152" s="206"/>
      <c r="I152" s="206"/>
      <c r="J152" s="297">
        <f t="shared" si="10"/>
        <v>0</v>
      </c>
      <c r="K152" s="309"/>
      <c r="L152" s="191"/>
      <c r="M152" s="194" t="str">
        <f t="shared" si="11"/>
        <v/>
      </c>
      <c r="N152" s="193" t="str">
        <f t="shared" si="12"/>
        <v/>
      </c>
      <c r="O152" s="195" t="str">
        <f t="shared" si="13"/>
        <v/>
      </c>
      <c r="P152" s="252"/>
      <c r="Q152" s="466"/>
      <c r="R152" s="467"/>
      <c r="S152" s="467"/>
      <c r="T152" s="468"/>
      <c r="U152" s="261"/>
      <c r="V152" s="261"/>
      <c r="W152" s="261"/>
      <c r="X152" s="262"/>
      <c r="Y152" s="261"/>
    </row>
    <row r="153" spans="2:25" ht="15.75" hidden="1" outlineLevel="1" thickBot="1" x14ac:dyDescent="0.3">
      <c r="B153" s="180"/>
      <c r="C153" s="357"/>
      <c r="D153" s="358"/>
      <c r="E153" s="185">
        <f t="shared" si="9"/>
        <v>0</v>
      </c>
      <c r="F153" s="359"/>
      <c r="G153" s="349"/>
      <c r="H153" s="206"/>
      <c r="I153" s="206"/>
      <c r="J153" s="297">
        <f t="shared" si="10"/>
        <v>0</v>
      </c>
      <c r="K153" s="309"/>
      <c r="L153" s="191"/>
      <c r="M153" s="194" t="str">
        <f t="shared" si="11"/>
        <v/>
      </c>
      <c r="N153" s="193" t="str">
        <f t="shared" si="12"/>
        <v/>
      </c>
      <c r="O153" s="195" t="str">
        <f t="shared" si="13"/>
        <v/>
      </c>
      <c r="P153" s="252"/>
      <c r="Q153" s="466"/>
      <c r="R153" s="467"/>
      <c r="S153" s="467"/>
      <c r="T153" s="468"/>
      <c r="U153" s="261"/>
      <c r="V153" s="261"/>
      <c r="W153" s="261"/>
      <c r="X153" s="262"/>
      <c r="Y153" s="261"/>
    </row>
    <row r="154" spans="2:25" ht="15.75" hidden="1" outlineLevel="1" thickBot="1" x14ac:dyDescent="0.3">
      <c r="B154" s="180"/>
      <c r="C154" s="357"/>
      <c r="D154" s="358"/>
      <c r="E154" s="185">
        <f t="shared" si="9"/>
        <v>0</v>
      </c>
      <c r="F154" s="359"/>
      <c r="G154" s="349"/>
      <c r="H154" s="206"/>
      <c r="I154" s="206"/>
      <c r="J154" s="297">
        <f t="shared" si="10"/>
        <v>0</v>
      </c>
      <c r="K154" s="309"/>
      <c r="L154" s="191"/>
      <c r="M154" s="194" t="str">
        <f t="shared" si="11"/>
        <v/>
      </c>
      <c r="N154" s="193" t="str">
        <f t="shared" si="12"/>
        <v/>
      </c>
      <c r="O154" s="195" t="str">
        <f t="shared" si="13"/>
        <v/>
      </c>
      <c r="P154" s="252"/>
      <c r="Q154" s="466"/>
      <c r="R154" s="467"/>
      <c r="S154" s="467"/>
      <c r="T154" s="468"/>
      <c r="U154" s="261"/>
      <c r="V154" s="261"/>
      <c r="W154" s="261"/>
      <c r="X154" s="262"/>
      <c r="Y154" s="261"/>
    </row>
    <row r="155" spans="2:25" ht="15.75" hidden="1" outlineLevel="1" thickBot="1" x14ac:dyDescent="0.3">
      <c r="B155" s="180"/>
      <c r="C155" s="357"/>
      <c r="D155" s="358"/>
      <c r="E155" s="185">
        <f t="shared" si="9"/>
        <v>0</v>
      </c>
      <c r="F155" s="359"/>
      <c r="G155" s="349"/>
      <c r="H155" s="206"/>
      <c r="I155" s="206"/>
      <c r="J155" s="297">
        <f t="shared" si="10"/>
        <v>0</v>
      </c>
      <c r="K155" s="309"/>
      <c r="L155" s="191"/>
      <c r="M155" s="194" t="str">
        <f t="shared" si="11"/>
        <v/>
      </c>
      <c r="N155" s="193" t="str">
        <f t="shared" si="12"/>
        <v/>
      </c>
      <c r="O155" s="195" t="str">
        <f t="shared" si="13"/>
        <v/>
      </c>
      <c r="P155" s="252"/>
      <c r="Q155" s="466"/>
      <c r="R155" s="467"/>
      <c r="S155" s="467"/>
      <c r="T155" s="468"/>
      <c r="U155" s="261"/>
      <c r="V155" s="261"/>
      <c r="W155" s="261"/>
      <c r="X155" s="262"/>
      <c r="Y155" s="261"/>
    </row>
    <row r="156" spans="2:25" ht="15.75" hidden="1" outlineLevel="1" thickBot="1" x14ac:dyDescent="0.3">
      <c r="B156" s="180"/>
      <c r="C156" s="357"/>
      <c r="D156" s="358"/>
      <c r="E156" s="185">
        <f t="shared" si="9"/>
        <v>0</v>
      </c>
      <c r="F156" s="359"/>
      <c r="G156" s="349"/>
      <c r="H156" s="206"/>
      <c r="I156" s="206"/>
      <c r="J156" s="297">
        <f t="shared" si="10"/>
        <v>0</v>
      </c>
      <c r="K156" s="309"/>
      <c r="L156" s="191"/>
      <c r="M156" s="194" t="str">
        <f t="shared" si="11"/>
        <v/>
      </c>
      <c r="N156" s="193" t="str">
        <f t="shared" si="12"/>
        <v/>
      </c>
      <c r="O156" s="195" t="str">
        <f t="shared" si="13"/>
        <v/>
      </c>
      <c r="P156" s="252"/>
      <c r="Q156" s="466"/>
      <c r="R156" s="467"/>
      <c r="S156" s="467"/>
      <c r="T156" s="468"/>
      <c r="U156" s="261"/>
      <c r="V156" s="261"/>
      <c r="W156" s="261"/>
      <c r="X156" s="262"/>
      <c r="Y156" s="261"/>
    </row>
    <row r="157" spans="2:25" ht="15.75" hidden="1" outlineLevel="1" thickBot="1" x14ac:dyDescent="0.3">
      <c r="B157" s="180"/>
      <c r="C157" s="357"/>
      <c r="D157" s="358"/>
      <c r="E157" s="185">
        <f t="shared" si="9"/>
        <v>0</v>
      </c>
      <c r="F157" s="359"/>
      <c r="G157" s="349"/>
      <c r="H157" s="206"/>
      <c r="I157" s="206"/>
      <c r="J157" s="297">
        <f t="shared" si="10"/>
        <v>0</v>
      </c>
      <c r="K157" s="309"/>
      <c r="L157" s="191"/>
      <c r="M157" s="194" t="str">
        <f t="shared" si="11"/>
        <v/>
      </c>
      <c r="N157" s="193" t="str">
        <f t="shared" si="12"/>
        <v/>
      </c>
      <c r="O157" s="195" t="str">
        <f t="shared" si="13"/>
        <v/>
      </c>
      <c r="P157" s="252"/>
      <c r="Q157" s="466"/>
      <c r="R157" s="467"/>
      <c r="S157" s="467"/>
      <c r="T157" s="468"/>
      <c r="U157" s="261"/>
      <c r="V157" s="261"/>
      <c r="W157" s="261"/>
      <c r="X157" s="262"/>
      <c r="Y157" s="261"/>
    </row>
    <row r="158" spans="2:25" ht="15.75" hidden="1" outlineLevel="1" thickBot="1" x14ac:dyDescent="0.3">
      <c r="B158" s="180"/>
      <c r="C158" s="357"/>
      <c r="D158" s="358"/>
      <c r="E158" s="185">
        <f t="shared" si="9"/>
        <v>0</v>
      </c>
      <c r="F158" s="359"/>
      <c r="G158" s="349"/>
      <c r="H158" s="206"/>
      <c r="I158" s="206"/>
      <c r="J158" s="297">
        <f t="shared" si="10"/>
        <v>0</v>
      </c>
      <c r="K158" s="309"/>
      <c r="L158" s="191"/>
      <c r="M158" s="194" t="str">
        <f t="shared" si="11"/>
        <v/>
      </c>
      <c r="N158" s="193" t="str">
        <f t="shared" si="12"/>
        <v/>
      </c>
      <c r="O158" s="195" t="str">
        <f t="shared" si="13"/>
        <v/>
      </c>
      <c r="P158" s="252"/>
      <c r="Q158" s="466"/>
      <c r="R158" s="467"/>
      <c r="S158" s="467"/>
      <c r="T158" s="468"/>
      <c r="U158" s="261"/>
      <c r="V158" s="261"/>
      <c r="W158" s="261"/>
      <c r="X158" s="262"/>
      <c r="Y158" s="261"/>
    </row>
    <row r="159" spans="2:25" ht="15.75" hidden="1" outlineLevel="1" thickBot="1" x14ac:dyDescent="0.3">
      <c r="B159" s="180"/>
      <c r="C159" s="357"/>
      <c r="D159" s="358"/>
      <c r="E159" s="185">
        <f t="shared" si="9"/>
        <v>0</v>
      </c>
      <c r="F159" s="359"/>
      <c r="G159" s="349"/>
      <c r="H159" s="206"/>
      <c r="I159" s="206"/>
      <c r="J159" s="297">
        <f t="shared" si="10"/>
        <v>0</v>
      </c>
      <c r="K159" s="309"/>
      <c r="L159" s="191"/>
      <c r="M159" s="194" t="str">
        <f t="shared" si="11"/>
        <v/>
      </c>
      <c r="N159" s="193" t="str">
        <f t="shared" si="12"/>
        <v/>
      </c>
      <c r="O159" s="195" t="str">
        <f t="shared" si="13"/>
        <v/>
      </c>
      <c r="P159" s="252"/>
      <c r="Q159" s="466"/>
      <c r="R159" s="467"/>
      <c r="S159" s="467"/>
      <c r="T159" s="468"/>
      <c r="U159" s="261"/>
      <c r="V159" s="261"/>
      <c r="W159" s="261"/>
      <c r="X159" s="262"/>
      <c r="Y159" s="261"/>
    </row>
    <row r="160" spans="2:25" ht="15.75" hidden="1" outlineLevel="1" thickBot="1" x14ac:dyDescent="0.3">
      <c r="B160" s="180"/>
      <c r="C160" s="357"/>
      <c r="D160" s="358"/>
      <c r="E160" s="185">
        <f t="shared" si="9"/>
        <v>0</v>
      </c>
      <c r="F160" s="359"/>
      <c r="G160" s="349"/>
      <c r="H160" s="206"/>
      <c r="I160" s="206"/>
      <c r="J160" s="297">
        <f t="shared" si="10"/>
        <v>0</v>
      </c>
      <c r="K160" s="309"/>
      <c r="L160" s="191"/>
      <c r="M160" s="194" t="str">
        <f t="shared" si="11"/>
        <v/>
      </c>
      <c r="N160" s="193" t="str">
        <f t="shared" si="12"/>
        <v/>
      </c>
      <c r="O160" s="195" t="str">
        <f t="shared" si="13"/>
        <v/>
      </c>
      <c r="P160" s="252"/>
      <c r="Q160" s="466"/>
      <c r="R160" s="467"/>
      <c r="S160" s="467"/>
      <c r="T160" s="468"/>
      <c r="U160" s="261"/>
      <c r="V160" s="261"/>
      <c r="W160" s="261"/>
      <c r="X160" s="262"/>
      <c r="Y160" s="261"/>
    </row>
    <row r="161" spans="2:25" ht="15.75" hidden="1" outlineLevel="1" thickBot="1" x14ac:dyDescent="0.3">
      <c r="B161" s="180"/>
      <c r="C161" s="357"/>
      <c r="D161" s="358"/>
      <c r="E161" s="185">
        <f t="shared" si="9"/>
        <v>0</v>
      </c>
      <c r="F161" s="359"/>
      <c r="G161" s="349"/>
      <c r="H161" s="206"/>
      <c r="I161" s="206"/>
      <c r="J161" s="297">
        <f t="shared" si="10"/>
        <v>0</v>
      </c>
      <c r="K161" s="309"/>
      <c r="L161" s="191"/>
      <c r="M161" s="194" t="str">
        <f t="shared" si="11"/>
        <v/>
      </c>
      <c r="N161" s="193" t="str">
        <f t="shared" si="12"/>
        <v/>
      </c>
      <c r="O161" s="195" t="str">
        <f t="shared" si="13"/>
        <v/>
      </c>
      <c r="P161" s="252"/>
      <c r="Q161" s="466"/>
      <c r="R161" s="467"/>
      <c r="S161" s="467"/>
      <c r="T161" s="468"/>
      <c r="U161" s="261"/>
      <c r="V161" s="261"/>
      <c r="W161" s="261"/>
      <c r="X161" s="262"/>
      <c r="Y161" s="261"/>
    </row>
    <row r="162" spans="2:25" ht="15.75" hidden="1" outlineLevel="1" thickBot="1" x14ac:dyDescent="0.3">
      <c r="B162" s="180"/>
      <c r="C162" s="357"/>
      <c r="D162" s="358"/>
      <c r="E162" s="185">
        <f t="shared" si="9"/>
        <v>0</v>
      </c>
      <c r="F162" s="359"/>
      <c r="G162" s="349"/>
      <c r="H162" s="206"/>
      <c r="I162" s="206"/>
      <c r="J162" s="297">
        <f t="shared" si="10"/>
        <v>0</v>
      </c>
      <c r="K162" s="309"/>
      <c r="L162" s="191"/>
      <c r="M162" s="194" t="str">
        <f t="shared" si="11"/>
        <v/>
      </c>
      <c r="N162" s="193" t="str">
        <f t="shared" si="12"/>
        <v/>
      </c>
      <c r="O162" s="195" t="str">
        <f t="shared" si="13"/>
        <v/>
      </c>
      <c r="P162" s="252"/>
      <c r="Q162" s="466"/>
      <c r="R162" s="467"/>
      <c r="S162" s="467"/>
      <c r="T162" s="468"/>
      <c r="U162" s="261"/>
      <c r="V162" s="261"/>
      <c r="W162" s="261"/>
      <c r="X162" s="262"/>
      <c r="Y162" s="261"/>
    </row>
    <row r="163" spans="2:25" ht="15.75" hidden="1" outlineLevel="1" thickBot="1" x14ac:dyDescent="0.3">
      <c r="B163" s="180"/>
      <c r="C163" s="357"/>
      <c r="D163" s="358"/>
      <c r="E163" s="185">
        <f t="shared" si="9"/>
        <v>0</v>
      </c>
      <c r="F163" s="359"/>
      <c r="G163" s="349"/>
      <c r="H163" s="206"/>
      <c r="I163" s="206"/>
      <c r="J163" s="297">
        <f t="shared" si="10"/>
        <v>0</v>
      </c>
      <c r="K163" s="309"/>
      <c r="L163" s="191"/>
      <c r="M163" s="194" t="str">
        <f t="shared" si="11"/>
        <v/>
      </c>
      <c r="N163" s="193" t="str">
        <f t="shared" si="12"/>
        <v/>
      </c>
      <c r="O163" s="195" t="str">
        <f t="shared" si="13"/>
        <v/>
      </c>
      <c r="P163" s="252"/>
      <c r="Q163" s="466"/>
      <c r="R163" s="467"/>
      <c r="S163" s="467"/>
      <c r="T163" s="468"/>
      <c r="U163" s="261"/>
      <c r="V163" s="261"/>
      <c r="W163" s="261"/>
      <c r="X163" s="262"/>
      <c r="Y163" s="261"/>
    </row>
    <row r="164" spans="2:25" ht="15.75" hidden="1" outlineLevel="1" thickBot="1" x14ac:dyDescent="0.3">
      <c r="B164" s="180"/>
      <c r="C164" s="357"/>
      <c r="D164" s="358"/>
      <c r="E164" s="185">
        <f t="shared" si="9"/>
        <v>0</v>
      </c>
      <c r="F164" s="359"/>
      <c r="G164" s="349"/>
      <c r="H164" s="206"/>
      <c r="I164" s="206"/>
      <c r="J164" s="297">
        <f t="shared" si="10"/>
        <v>0</v>
      </c>
      <c r="K164" s="309"/>
      <c r="L164" s="191"/>
      <c r="M164" s="194" t="str">
        <f t="shared" si="11"/>
        <v/>
      </c>
      <c r="N164" s="193" t="str">
        <f t="shared" si="12"/>
        <v/>
      </c>
      <c r="O164" s="195" t="str">
        <f t="shared" si="13"/>
        <v/>
      </c>
      <c r="P164" s="252"/>
      <c r="Q164" s="466"/>
      <c r="R164" s="467"/>
      <c r="S164" s="467"/>
      <c r="T164" s="468"/>
      <c r="U164" s="261"/>
      <c r="V164" s="261"/>
      <c r="W164" s="261"/>
      <c r="X164" s="262"/>
      <c r="Y164" s="261"/>
    </row>
    <row r="165" spans="2:25" ht="15.75" hidden="1" outlineLevel="1" thickBot="1" x14ac:dyDescent="0.3">
      <c r="B165" s="180"/>
      <c r="C165" s="357"/>
      <c r="D165" s="358"/>
      <c r="E165" s="185">
        <f t="shared" si="9"/>
        <v>0</v>
      </c>
      <c r="F165" s="359"/>
      <c r="G165" s="349"/>
      <c r="H165" s="206"/>
      <c r="I165" s="206"/>
      <c r="J165" s="297">
        <f t="shared" si="10"/>
        <v>0</v>
      </c>
      <c r="K165" s="309"/>
      <c r="L165" s="191"/>
      <c r="M165" s="194" t="str">
        <f t="shared" si="11"/>
        <v/>
      </c>
      <c r="N165" s="193" t="str">
        <f t="shared" si="12"/>
        <v/>
      </c>
      <c r="O165" s="195" t="str">
        <f t="shared" si="13"/>
        <v/>
      </c>
      <c r="P165" s="252"/>
      <c r="Q165" s="466"/>
      <c r="R165" s="467"/>
      <c r="S165" s="467"/>
      <c r="T165" s="468"/>
      <c r="U165" s="261"/>
      <c r="V165" s="261"/>
      <c r="W165" s="261"/>
      <c r="X165" s="262"/>
      <c r="Y165" s="261"/>
    </row>
    <row r="166" spans="2:25" ht="15.75" hidden="1" outlineLevel="1" thickBot="1" x14ac:dyDescent="0.3">
      <c r="B166" s="180"/>
      <c r="C166" s="357"/>
      <c r="D166" s="358"/>
      <c r="E166" s="185">
        <f t="shared" si="9"/>
        <v>0</v>
      </c>
      <c r="F166" s="359"/>
      <c r="G166" s="349"/>
      <c r="H166" s="206"/>
      <c r="I166" s="206"/>
      <c r="J166" s="297">
        <f t="shared" si="10"/>
        <v>0</v>
      </c>
      <c r="K166" s="309"/>
      <c r="L166" s="191"/>
      <c r="M166" s="194" t="str">
        <f t="shared" si="11"/>
        <v/>
      </c>
      <c r="N166" s="193" t="str">
        <f t="shared" si="12"/>
        <v/>
      </c>
      <c r="O166" s="195" t="str">
        <f t="shared" si="13"/>
        <v/>
      </c>
      <c r="P166" s="252"/>
      <c r="Q166" s="466"/>
      <c r="R166" s="467"/>
      <c r="S166" s="467"/>
      <c r="T166" s="468"/>
      <c r="U166" s="261"/>
      <c r="V166" s="261"/>
      <c r="W166" s="261"/>
      <c r="X166" s="262"/>
      <c r="Y166" s="261"/>
    </row>
    <row r="167" spans="2:25" ht="15.75" hidden="1" outlineLevel="1" thickBot="1" x14ac:dyDescent="0.3">
      <c r="B167" s="180"/>
      <c r="C167" s="357"/>
      <c r="D167" s="358"/>
      <c r="E167" s="185">
        <f t="shared" si="9"/>
        <v>0</v>
      </c>
      <c r="F167" s="359"/>
      <c r="G167" s="349"/>
      <c r="H167" s="206"/>
      <c r="I167" s="206"/>
      <c r="J167" s="297">
        <f t="shared" si="10"/>
        <v>0</v>
      </c>
      <c r="K167" s="309"/>
      <c r="L167" s="191"/>
      <c r="M167" s="194" t="str">
        <f t="shared" si="11"/>
        <v/>
      </c>
      <c r="N167" s="193" t="str">
        <f t="shared" si="12"/>
        <v/>
      </c>
      <c r="O167" s="195" t="str">
        <f t="shared" si="13"/>
        <v/>
      </c>
      <c r="P167" s="252"/>
      <c r="Q167" s="466"/>
      <c r="R167" s="467"/>
      <c r="S167" s="467"/>
      <c r="T167" s="468"/>
      <c r="U167" s="261"/>
      <c r="V167" s="261"/>
      <c r="W167" s="261"/>
      <c r="X167" s="262"/>
      <c r="Y167" s="261"/>
    </row>
    <row r="168" spans="2:25" ht="15.75" hidden="1" outlineLevel="1" thickBot="1" x14ac:dyDescent="0.3">
      <c r="B168" s="180"/>
      <c r="C168" s="357"/>
      <c r="D168" s="358"/>
      <c r="E168" s="185">
        <f t="shared" si="9"/>
        <v>0</v>
      </c>
      <c r="F168" s="359"/>
      <c r="G168" s="349"/>
      <c r="H168" s="206"/>
      <c r="I168" s="206"/>
      <c r="J168" s="297">
        <f t="shared" si="10"/>
        <v>0</v>
      </c>
      <c r="K168" s="309"/>
      <c r="L168" s="191"/>
      <c r="M168" s="194" t="str">
        <f t="shared" si="11"/>
        <v/>
      </c>
      <c r="N168" s="193" t="str">
        <f t="shared" si="12"/>
        <v/>
      </c>
      <c r="O168" s="195" t="str">
        <f t="shared" si="13"/>
        <v/>
      </c>
      <c r="P168" s="252"/>
      <c r="Q168" s="466"/>
      <c r="R168" s="467"/>
      <c r="S168" s="467"/>
      <c r="T168" s="468"/>
      <c r="U168" s="261"/>
      <c r="V168" s="261"/>
      <c r="W168" s="261"/>
      <c r="X168" s="262"/>
      <c r="Y168" s="261"/>
    </row>
    <row r="169" spans="2:25" ht="15.75" hidden="1" outlineLevel="1" thickBot="1" x14ac:dyDescent="0.3">
      <c r="B169" s="180"/>
      <c r="C169" s="357"/>
      <c r="D169" s="358"/>
      <c r="E169" s="185">
        <f t="shared" si="9"/>
        <v>0</v>
      </c>
      <c r="F169" s="359"/>
      <c r="G169" s="349"/>
      <c r="H169" s="206"/>
      <c r="I169" s="206"/>
      <c r="J169" s="297">
        <f t="shared" si="10"/>
        <v>0</v>
      </c>
      <c r="K169" s="309"/>
      <c r="L169" s="191"/>
      <c r="M169" s="194" t="str">
        <f t="shared" si="11"/>
        <v/>
      </c>
      <c r="N169" s="193" t="str">
        <f t="shared" si="12"/>
        <v/>
      </c>
      <c r="O169" s="195" t="str">
        <f t="shared" si="13"/>
        <v/>
      </c>
      <c r="P169" s="252"/>
      <c r="Q169" s="466"/>
      <c r="R169" s="467"/>
      <c r="S169" s="467"/>
      <c r="T169" s="468"/>
      <c r="U169" s="261"/>
      <c r="V169" s="261"/>
      <c r="W169" s="261"/>
      <c r="X169" s="262"/>
      <c r="Y169" s="261"/>
    </row>
    <row r="170" spans="2:25" ht="15.75" hidden="1" outlineLevel="1" thickBot="1" x14ac:dyDescent="0.3">
      <c r="B170" s="180"/>
      <c r="C170" s="357"/>
      <c r="D170" s="358"/>
      <c r="E170" s="185">
        <f t="shared" si="9"/>
        <v>0</v>
      </c>
      <c r="F170" s="359"/>
      <c r="G170" s="349"/>
      <c r="H170" s="206"/>
      <c r="I170" s="206"/>
      <c r="J170" s="297">
        <f t="shared" si="10"/>
        <v>0</v>
      </c>
      <c r="K170" s="309"/>
      <c r="L170" s="191"/>
      <c r="M170" s="194" t="str">
        <f t="shared" si="11"/>
        <v/>
      </c>
      <c r="N170" s="193" t="str">
        <f t="shared" si="12"/>
        <v/>
      </c>
      <c r="O170" s="195" t="str">
        <f t="shared" si="13"/>
        <v/>
      </c>
      <c r="P170" s="252"/>
      <c r="Q170" s="466"/>
      <c r="R170" s="467"/>
      <c r="S170" s="467"/>
      <c r="T170" s="468"/>
      <c r="U170" s="261"/>
      <c r="V170" s="261"/>
      <c r="W170" s="261"/>
      <c r="X170" s="262"/>
      <c r="Y170" s="261"/>
    </row>
    <row r="171" spans="2:25" ht="15.75" hidden="1" outlineLevel="1" thickBot="1" x14ac:dyDescent="0.3">
      <c r="B171" s="180"/>
      <c r="C171" s="357"/>
      <c r="D171" s="358"/>
      <c r="E171" s="185">
        <f t="shared" si="9"/>
        <v>0</v>
      </c>
      <c r="F171" s="359"/>
      <c r="G171" s="349"/>
      <c r="H171" s="206"/>
      <c r="I171" s="206"/>
      <c r="J171" s="297">
        <f t="shared" si="10"/>
        <v>0</v>
      </c>
      <c r="K171" s="309"/>
      <c r="L171" s="191"/>
      <c r="M171" s="194" t="str">
        <f t="shared" si="11"/>
        <v/>
      </c>
      <c r="N171" s="193" t="str">
        <f t="shared" si="12"/>
        <v/>
      </c>
      <c r="O171" s="195" t="str">
        <f t="shared" si="13"/>
        <v/>
      </c>
      <c r="P171" s="252"/>
      <c r="Q171" s="466"/>
      <c r="R171" s="467"/>
      <c r="S171" s="467"/>
      <c r="T171" s="468"/>
      <c r="U171" s="261"/>
      <c r="V171" s="261"/>
      <c r="W171" s="261"/>
      <c r="X171" s="262"/>
      <c r="Y171" s="261"/>
    </row>
    <row r="172" spans="2:25" ht="15.75" hidden="1" outlineLevel="1" thickBot="1" x14ac:dyDescent="0.3">
      <c r="B172" s="180"/>
      <c r="C172" s="357"/>
      <c r="D172" s="358"/>
      <c r="E172" s="185">
        <f t="shared" si="9"/>
        <v>0</v>
      </c>
      <c r="F172" s="359"/>
      <c r="G172" s="349"/>
      <c r="H172" s="206"/>
      <c r="I172" s="206"/>
      <c r="J172" s="297">
        <f t="shared" si="10"/>
        <v>0</v>
      </c>
      <c r="K172" s="309"/>
      <c r="L172" s="191"/>
      <c r="M172" s="194" t="str">
        <f t="shared" si="11"/>
        <v/>
      </c>
      <c r="N172" s="193" t="str">
        <f t="shared" si="12"/>
        <v/>
      </c>
      <c r="O172" s="195" t="str">
        <f t="shared" si="13"/>
        <v/>
      </c>
      <c r="P172" s="252"/>
      <c r="Q172" s="466"/>
      <c r="R172" s="467"/>
      <c r="S172" s="467"/>
      <c r="T172" s="468"/>
      <c r="U172" s="261"/>
      <c r="V172" s="261"/>
      <c r="W172" s="261"/>
      <c r="X172" s="262"/>
      <c r="Y172" s="261"/>
    </row>
    <row r="173" spans="2:25" ht="15.75" hidden="1" outlineLevel="1" thickBot="1" x14ac:dyDescent="0.3">
      <c r="B173" s="180"/>
      <c r="C173" s="357"/>
      <c r="D173" s="358"/>
      <c r="E173" s="185">
        <f t="shared" si="9"/>
        <v>0</v>
      </c>
      <c r="F173" s="359"/>
      <c r="G173" s="349"/>
      <c r="H173" s="206"/>
      <c r="I173" s="206"/>
      <c r="J173" s="297">
        <f t="shared" si="10"/>
        <v>0</v>
      </c>
      <c r="K173" s="309"/>
      <c r="L173" s="191"/>
      <c r="M173" s="194" t="str">
        <f t="shared" si="11"/>
        <v/>
      </c>
      <c r="N173" s="193" t="str">
        <f t="shared" si="12"/>
        <v/>
      </c>
      <c r="O173" s="195" t="str">
        <f t="shared" si="13"/>
        <v/>
      </c>
      <c r="P173" s="252"/>
      <c r="Q173" s="466"/>
      <c r="R173" s="467"/>
      <c r="S173" s="467"/>
      <c r="T173" s="468"/>
      <c r="U173" s="261"/>
      <c r="V173" s="261"/>
      <c r="W173" s="261"/>
      <c r="X173" s="262"/>
      <c r="Y173" s="261"/>
    </row>
    <row r="174" spans="2:25" ht="15.75" hidden="1" outlineLevel="1" thickBot="1" x14ac:dyDescent="0.3">
      <c r="B174" s="180"/>
      <c r="C174" s="357"/>
      <c r="D174" s="358"/>
      <c r="E174" s="185">
        <f t="shared" si="9"/>
        <v>0</v>
      </c>
      <c r="F174" s="359"/>
      <c r="G174" s="349"/>
      <c r="H174" s="206"/>
      <c r="I174" s="206"/>
      <c r="J174" s="297">
        <f t="shared" si="10"/>
        <v>0</v>
      </c>
      <c r="K174" s="309"/>
      <c r="L174" s="191"/>
      <c r="M174" s="194" t="str">
        <f t="shared" si="11"/>
        <v/>
      </c>
      <c r="N174" s="193" t="str">
        <f t="shared" si="12"/>
        <v/>
      </c>
      <c r="O174" s="195" t="str">
        <f t="shared" si="13"/>
        <v/>
      </c>
      <c r="P174" s="252"/>
      <c r="Q174" s="466"/>
      <c r="R174" s="467"/>
      <c r="S174" s="467"/>
      <c r="T174" s="468"/>
      <c r="U174" s="261"/>
      <c r="V174" s="261"/>
      <c r="W174" s="261"/>
      <c r="X174" s="262"/>
      <c r="Y174" s="261"/>
    </row>
    <row r="175" spans="2:25" ht="15.75" hidden="1" outlineLevel="1" thickBot="1" x14ac:dyDescent="0.3">
      <c r="B175" s="180"/>
      <c r="C175" s="357"/>
      <c r="D175" s="358"/>
      <c r="E175" s="185">
        <f t="shared" si="9"/>
        <v>0</v>
      </c>
      <c r="F175" s="359"/>
      <c r="G175" s="349"/>
      <c r="H175" s="206"/>
      <c r="I175" s="206"/>
      <c r="J175" s="297">
        <f t="shared" si="10"/>
        <v>0</v>
      </c>
      <c r="K175" s="309"/>
      <c r="L175" s="191"/>
      <c r="M175" s="194" t="str">
        <f t="shared" si="11"/>
        <v/>
      </c>
      <c r="N175" s="193" t="str">
        <f t="shared" si="12"/>
        <v/>
      </c>
      <c r="O175" s="195" t="str">
        <f t="shared" si="13"/>
        <v/>
      </c>
      <c r="P175" s="252"/>
      <c r="Q175" s="466"/>
      <c r="R175" s="467"/>
      <c r="S175" s="467"/>
      <c r="T175" s="468"/>
      <c r="U175" s="261"/>
      <c r="V175" s="261"/>
      <c r="W175" s="261"/>
      <c r="X175" s="262"/>
      <c r="Y175" s="261"/>
    </row>
    <row r="176" spans="2:25" ht="15.75" hidden="1" outlineLevel="1" thickBot="1" x14ac:dyDescent="0.3">
      <c r="B176" s="180"/>
      <c r="C176" s="357"/>
      <c r="D176" s="358"/>
      <c r="E176" s="185">
        <f t="shared" si="9"/>
        <v>0</v>
      </c>
      <c r="F176" s="359"/>
      <c r="G176" s="349"/>
      <c r="H176" s="206"/>
      <c r="I176" s="206"/>
      <c r="J176" s="297">
        <f t="shared" si="10"/>
        <v>0</v>
      </c>
      <c r="K176" s="309"/>
      <c r="L176" s="191"/>
      <c r="M176" s="194" t="str">
        <f t="shared" si="11"/>
        <v/>
      </c>
      <c r="N176" s="193" t="str">
        <f t="shared" si="12"/>
        <v/>
      </c>
      <c r="O176" s="195" t="str">
        <f t="shared" si="13"/>
        <v/>
      </c>
      <c r="P176" s="252"/>
      <c r="Q176" s="466"/>
      <c r="R176" s="467"/>
      <c r="S176" s="467"/>
      <c r="T176" s="468"/>
      <c r="U176" s="261"/>
      <c r="V176" s="261"/>
      <c r="W176" s="261"/>
      <c r="X176" s="262"/>
      <c r="Y176" s="261"/>
    </row>
    <row r="177" spans="2:25" ht="15.75" hidden="1" outlineLevel="1" thickBot="1" x14ac:dyDescent="0.3">
      <c r="B177" s="180"/>
      <c r="C177" s="357"/>
      <c r="D177" s="358"/>
      <c r="E177" s="185">
        <f t="shared" si="9"/>
        <v>0</v>
      </c>
      <c r="F177" s="359"/>
      <c r="G177" s="349"/>
      <c r="H177" s="206"/>
      <c r="I177" s="206"/>
      <c r="J177" s="297">
        <f t="shared" si="10"/>
        <v>0</v>
      </c>
      <c r="K177" s="309"/>
      <c r="L177" s="191"/>
      <c r="M177" s="194" t="str">
        <f t="shared" si="11"/>
        <v/>
      </c>
      <c r="N177" s="193" t="str">
        <f t="shared" si="12"/>
        <v/>
      </c>
      <c r="O177" s="195" t="str">
        <f t="shared" si="13"/>
        <v/>
      </c>
      <c r="P177" s="252"/>
      <c r="Q177" s="466"/>
      <c r="R177" s="467"/>
      <c r="S177" s="467"/>
      <c r="T177" s="468"/>
      <c r="U177" s="261"/>
      <c r="V177" s="261"/>
      <c r="W177" s="261"/>
      <c r="X177" s="262"/>
      <c r="Y177" s="261"/>
    </row>
    <row r="178" spans="2:25" ht="15.75" hidden="1" outlineLevel="1" thickBot="1" x14ac:dyDescent="0.3">
      <c r="B178" s="180"/>
      <c r="C178" s="357"/>
      <c r="D178" s="358"/>
      <c r="E178" s="185">
        <f t="shared" si="9"/>
        <v>0</v>
      </c>
      <c r="F178" s="359"/>
      <c r="G178" s="349"/>
      <c r="H178" s="206"/>
      <c r="I178" s="206"/>
      <c r="J178" s="297">
        <f t="shared" si="10"/>
        <v>0</v>
      </c>
      <c r="K178" s="309"/>
      <c r="L178" s="191"/>
      <c r="M178" s="194" t="str">
        <f t="shared" si="11"/>
        <v/>
      </c>
      <c r="N178" s="193" t="str">
        <f t="shared" si="12"/>
        <v/>
      </c>
      <c r="O178" s="195" t="str">
        <f t="shared" si="13"/>
        <v/>
      </c>
      <c r="P178" s="252"/>
      <c r="Q178" s="466"/>
      <c r="R178" s="467"/>
      <c r="S178" s="467"/>
      <c r="T178" s="468"/>
      <c r="U178" s="261"/>
      <c r="V178" s="261"/>
      <c r="W178" s="261"/>
      <c r="X178" s="262"/>
      <c r="Y178" s="261"/>
    </row>
    <row r="179" spans="2:25" ht="15.75" hidden="1" outlineLevel="1" thickBot="1" x14ac:dyDescent="0.3">
      <c r="B179" s="180"/>
      <c r="C179" s="357"/>
      <c r="D179" s="358"/>
      <c r="E179" s="185">
        <f t="shared" si="9"/>
        <v>0</v>
      </c>
      <c r="F179" s="359"/>
      <c r="G179" s="349"/>
      <c r="H179" s="206"/>
      <c r="I179" s="206"/>
      <c r="J179" s="297">
        <f t="shared" si="10"/>
        <v>0</v>
      </c>
      <c r="K179" s="309"/>
      <c r="L179" s="191"/>
      <c r="M179" s="194" t="str">
        <f t="shared" si="11"/>
        <v/>
      </c>
      <c r="N179" s="193" t="str">
        <f t="shared" si="12"/>
        <v/>
      </c>
      <c r="O179" s="195" t="str">
        <f t="shared" si="13"/>
        <v/>
      </c>
      <c r="P179" s="252"/>
      <c r="Q179" s="466"/>
      <c r="R179" s="467"/>
      <c r="S179" s="467"/>
      <c r="T179" s="468"/>
      <c r="U179" s="261"/>
      <c r="V179" s="261"/>
      <c r="W179" s="261"/>
      <c r="X179" s="262"/>
      <c r="Y179" s="261"/>
    </row>
    <row r="180" spans="2:25" ht="15.75" hidden="1" outlineLevel="1" thickBot="1" x14ac:dyDescent="0.3">
      <c r="B180" s="180"/>
      <c r="C180" s="357"/>
      <c r="D180" s="358"/>
      <c r="E180" s="185">
        <f t="shared" si="9"/>
        <v>0</v>
      </c>
      <c r="F180" s="359"/>
      <c r="G180" s="349"/>
      <c r="H180" s="206"/>
      <c r="I180" s="206"/>
      <c r="J180" s="297">
        <f t="shared" si="10"/>
        <v>0</v>
      </c>
      <c r="K180" s="309"/>
      <c r="L180" s="191"/>
      <c r="M180" s="194" t="str">
        <f t="shared" si="11"/>
        <v/>
      </c>
      <c r="N180" s="193" t="str">
        <f t="shared" si="12"/>
        <v/>
      </c>
      <c r="O180" s="195" t="str">
        <f t="shared" si="13"/>
        <v/>
      </c>
      <c r="P180" s="252"/>
      <c r="Q180" s="466"/>
      <c r="R180" s="467"/>
      <c r="S180" s="467"/>
      <c r="T180" s="468"/>
      <c r="U180" s="261"/>
      <c r="V180" s="261"/>
      <c r="W180" s="261"/>
      <c r="X180" s="262"/>
      <c r="Y180" s="261"/>
    </row>
    <row r="181" spans="2:25" ht="15.75" hidden="1" outlineLevel="1" thickBot="1" x14ac:dyDescent="0.3">
      <c r="B181" s="180"/>
      <c r="C181" s="357"/>
      <c r="D181" s="358"/>
      <c r="E181" s="185">
        <f t="shared" ref="E181:E202" si="14">C181+D181</f>
        <v>0</v>
      </c>
      <c r="F181" s="359"/>
      <c r="G181" s="349"/>
      <c r="H181" s="206"/>
      <c r="I181" s="206"/>
      <c r="J181" s="297">
        <f t="shared" ref="J181:J202" si="15">H181+I181</f>
        <v>0</v>
      </c>
      <c r="K181" s="309"/>
      <c r="L181" s="191"/>
      <c r="M181" s="194" t="str">
        <f t="shared" ref="M181:M202" si="16">IF(AND(G181&gt;0,OR(C181&gt;0,F181&gt;0,H181&gt;0)),(G181-F181)/G181,"")</f>
        <v/>
      </c>
      <c r="N181" s="193" t="str">
        <f t="shared" ref="N181:N202" si="17">IF(G181&gt;0,(IF(C181&gt;0,C181,H181))/G181,"")</f>
        <v/>
      </c>
      <c r="O181" s="195" t="str">
        <f t="shared" ref="O181:O202" si="18">IF(M181=100%,G181-(IF(C181&gt;0,C181,H181)),"")</f>
        <v/>
      </c>
      <c r="P181" s="252"/>
      <c r="Q181" s="466"/>
      <c r="R181" s="467"/>
      <c r="S181" s="467"/>
      <c r="T181" s="468"/>
      <c r="U181" s="261"/>
      <c r="V181" s="261"/>
      <c r="W181" s="261"/>
      <c r="X181" s="262"/>
      <c r="Y181" s="261"/>
    </row>
    <row r="182" spans="2:25" ht="15.75" hidden="1" outlineLevel="1" thickBot="1" x14ac:dyDescent="0.3">
      <c r="B182" s="180"/>
      <c r="C182" s="357"/>
      <c r="D182" s="358"/>
      <c r="E182" s="185">
        <f t="shared" si="14"/>
        <v>0</v>
      </c>
      <c r="F182" s="359"/>
      <c r="G182" s="349"/>
      <c r="H182" s="206"/>
      <c r="I182" s="206"/>
      <c r="J182" s="297">
        <f t="shared" si="15"/>
        <v>0</v>
      </c>
      <c r="K182" s="309"/>
      <c r="L182" s="191"/>
      <c r="M182" s="194" t="str">
        <f t="shared" si="16"/>
        <v/>
      </c>
      <c r="N182" s="193" t="str">
        <f t="shared" si="17"/>
        <v/>
      </c>
      <c r="O182" s="195" t="str">
        <f t="shared" si="18"/>
        <v/>
      </c>
      <c r="P182" s="252"/>
      <c r="Q182" s="466"/>
      <c r="R182" s="467"/>
      <c r="S182" s="467"/>
      <c r="T182" s="468"/>
      <c r="U182" s="261"/>
      <c r="V182" s="261"/>
      <c r="W182" s="261"/>
      <c r="X182" s="262"/>
      <c r="Y182" s="261"/>
    </row>
    <row r="183" spans="2:25" ht="15.75" hidden="1" outlineLevel="1" thickBot="1" x14ac:dyDescent="0.3">
      <c r="B183" s="180"/>
      <c r="C183" s="357"/>
      <c r="D183" s="358"/>
      <c r="E183" s="185">
        <f t="shared" si="14"/>
        <v>0</v>
      </c>
      <c r="F183" s="359"/>
      <c r="G183" s="349"/>
      <c r="H183" s="206"/>
      <c r="I183" s="206"/>
      <c r="J183" s="297">
        <f t="shared" si="15"/>
        <v>0</v>
      </c>
      <c r="K183" s="309"/>
      <c r="L183" s="191"/>
      <c r="M183" s="194" t="str">
        <f t="shared" si="16"/>
        <v/>
      </c>
      <c r="N183" s="193" t="str">
        <f t="shared" si="17"/>
        <v/>
      </c>
      <c r="O183" s="195" t="str">
        <f t="shared" si="18"/>
        <v/>
      </c>
      <c r="P183" s="252"/>
      <c r="Q183" s="466"/>
      <c r="R183" s="467"/>
      <c r="S183" s="467"/>
      <c r="T183" s="468"/>
      <c r="U183" s="261"/>
      <c r="V183" s="261"/>
      <c r="W183" s="261"/>
      <c r="X183" s="262"/>
      <c r="Y183" s="261"/>
    </row>
    <row r="184" spans="2:25" ht="15.75" hidden="1" outlineLevel="1" thickBot="1" x14ac:dyDescent="0.3">
      <c r="B184" s="180"/>
      <c r="C184" s="357"/>
      <c r="D184" s="358"/>
      <c r="E184" s="185">
        <f t="shared" si="14"/>
        <v>0</v>
      </c>
      <c r="F184" s="359"/>
      <c r="G184" s="349"/>
      <c r="H184" s="206"/>
      <c r="I184" s="206"/>
      <c r="J184" s="297">
        <f t="shared" si="15"/>
        <v>0</v>
      </c>
      <c r="K184" s="309"/>
      <c r="L184" s="191"/>
      <c r="M184" s="194" t="str">
        <f t="shared" si="16"/>
        <v/>
      </c>
      <c r="N184" s="193" t="str">
        <f t="shared" si="17"/>
        <v/>
      </c>
      <c r="O184" s="195" t="str">
        <f t="shared" si="18"/>
        <v/>
      </c>
      <c r="P184" s="252"/>
      <c r="Q184" s="466"/>
      <c r="R184" s="467"/>
      <c r="S184" s="467"/>
      <c r="T184" s="468"/>
      <c r="U184" s="261"/>
      <c r="V184" s="261"/>
      <c r="W184" s="261"/>
      <c r="X184" s="262"/>
      <c r="Y184" s="261"/>
    </row>
    <row r="185" spans="2:25" ht="15.75" hidden="1" outlineLevel="1" thickBot="1" x14ac:dyDescent="0.3">
      <c r="B185" s="180"/>
      <c r="C185" s="357"/>
      <c r="D185" s="358"/>
      <c r="E185" s="185">
        <f t="shared" si="14"/>
        <v>0</v>
      </c>
      <c r="F185" s="359"/>
      <c r="G185" s="349"/>
      <c r="H185" s="206"/>
      <c r="I185" s="206"/>
      <c r="J185" s="297">
        <f t="shared" si="15"/>
        <v>0</v>
      </c>
      <c r="K185" s="309"/>
      <c r="L185" s="191"/>
      <c r="M185" s="194" t="str">
        <f t="shared" si="16"/>
        <v/>
      </c>
      <c r="N185" s="193" t="str">
        <f t="shared" si="17"/>
        <v/>
      </c>
      <c r="O185" s="195" t="str">
        <f t="shared" si="18"/>
        <v/>
      </c>
      <c r="P185" s="252"/>
      <c r="Q185" s="466"/>
      <c r="R185" s="467"/>
      <c r="S185" s="467"/>
      <c r="T185" s="468"/>
      <c r="U185" s="261"/>
      <c r="V185" s="261"/>
      <c r="W185" s="261"/>
      <c r="X185" s="262"/>
      <c r="Y185" s="261"/>
    </row>
    <row r="186" spans="2:25" ht="15.75" hidden="1" outlineLevel="1" thickBot="1" x14ac:dyDescent="0.3">
      <c r="B186" s="180"/>
      <c r="C186" s="357"/>
      <c r="D186" s="358"/>
      <c r="E186" s="185">
        <f t="shared" si="14"/>
        <v>0</v>
      </c>
      <c r="F186" s="359"/>
      <c r="G186" s="349"/>
      <c r="H186" s="206"/>
      <c r="I186" s="206"/>
      <c r="J186" s="297">
        <f t="shared" si="15"/>
        <v>0</v>
      </c>
      <c r="K186" s="309"/>
      <c r="L186" s="191"/>
      <c r="M186" s="194" t="str">
        <f t="shared" si="16"/>
        <v/>
      </c>
      <c r="N186" s="193" t="str">
        <f t="shared" si="17"/>
        <v/>
      </c>
      <c r="O186" s="195" t="str">
        <f t="shared" si="18"/>
        <v/>
      </c>
      <c r="P186" s="252"/>
      <c r="Q186" s="466"/>
      <c r="R186" s="467"/>
      <c r="S186" s="467"/>
      <c r="T186" s="468"/>
      <c r="U186" s="261"/>
      <c r="V186" s="261"/>
      <c r="W186" s="261"/>
      <c r="X186" s="262"/>
      <c r="Y186" s="261"/>
    </row>
    <row r="187" spans="2:25" ht="15.75" hidden="1" outlineLevel="1" thickBot="1" x14ac:dyDescent="0.3">
      <c r="B187" s="180"/>
      <c r="C187" s="357"/>
      <c r="D187" s="358"/>
      <c r="E187" s="185">
        <f t="shared" si="14"/>
        <v>0</v>
      </c>
      <c r="F187" s="359"/>
      <c r="G187" s="349"/>
      <c r="H187" s="206"/>
      <c r="I187" s="206"/>
      <c r="J187" s="297">
        <f t="shared" si="15"/>
        <v>0</v>
      </c>
      <c r="K187" s="309"/>
      <c r="L187" s="191"/>
      <c r="M187" s="194" t="str">
        <f t="shared" si="16"/>
        <v/>
      </c>
      <c r="N187" s="193" t="str">
        <f t="shared" si="17"/>
        <v/>
      </c>
      <c r="O187" s="195" t="str">
        <f t="shared" si="18"/>
        <v/>
      </c>
      <c r="P187" s="252"/>
      <c r="Q187" s="466"/>
      <c r="R187" s="467"/>
      <c r="S187" s="467"/>
      <c r="T187" s="468"/>
      <c r="U187" s="261"/>
      <c r="V187" s="261"/>
      <c r="W187" s="261"/>
      <c r="X187" s="262"/>
      <c r="Y187" s="261"/>
    </row>
    <row r="188" spans="2:25" ht="15.75" hidden="1" outlineLevel="1" thickBot="1" x14ac:dyDescent="0.3">
      <c r="B188" s="180"/>
      <c r="C188" s="357"/>
      <c r="D188" s="358"/>
      <c r="E188" s="185">
        <f t="shared" si="14"/>
        <v>0</v>
      </c>
      <c r="F188" s="359"/>
      <c r="G188" s="349"/>
      <c r="H188" s="206"/>
      <c r="I188" s="206"/>
      <c r="J188" s="297">
        <f t="shared" si="15"/>
        <v>0</v>
      </c>
      <c r="K188" s="309"/>
      <c r="L188" s="191"/>
      <c r="M188" s="194" t="str">
        <f t="shared" si="16"/>
        <v/>
      </c>
      <c r="N188" s="193" t="str">
        <f t="shared" si="17"/>
        <v/>
      </c>
      <c r="O188" s="195" t="str">
        <f t="shared" si="18"/>
        <v/>
      </c>
      <c r="P188" s="252"/>
      <c r="Q188" s="466"/>
      <c r="R188" s="467"/>
      <c r="S188" s="467"/>
      <c r="T188" s="468"/>
      <c r="U188" s="261"/>
      <c r="V188" s="261"/>
      <c r="W188" s="261"/>
      <c r="X188" s="262"/>
      <c r="Y188" s="261"/>
    </row>
    <row r="189" spans="2:25" ht="15.75" hidden="1" outlineLevel="1" thickBot="1" x14ac:dyDescent="0.3">
      <c r="B189" s="180"/>
      <c r="C189" s="357"/>
      <c r="D189" s="358"/>
      <c r="E189" s="185">
        <f t="shared" si="14"/>
        <v>0</v>
      </c>
      <c r="F189" s="359"/>
      <c r="G189" s="349"/>
      <c r="H189" s="206"/>
      <c r="I189" s="206"/>
      <c r="J189" s="297">
        <f t="shared" si="15"/>
        <v>0</v>
      </c>
      <c r="K189" s="309"/>
      <c r="L189" s="191"/>
      <c r="M189" s="194" t="str">
        <f t="shared" si="16"/>
        <v/>
      </c>
      <c r="N189" s="193" t="str">
        <f t="shared" si="17"/>
        <v/>
      </c>
      <c r="O189" s="195" t="str">
        <f t="shared" si="18"/>
        <v/>
      </c>
      <c r="P189" s="252"/>
      <c r="Q189" s="466"/>
      <c r="R189" s="467"/>
      <c r="S189" s="467"/>
      <c r="T189" s="468"/>
      <c r="U189" s="261"/>
      <c r="V189" s="261"/>
      <c r="W189" s="261"/>
      <c r="X189" s="262"/>
      <c r="Y189" s="261"/>
    </row>
    <row r="190" spans="2:25" ht="15.75" hidden="1" outlineLevel="1" thickBot="1" x14ac:dyDescent="0.3">
      <c r="B190" s="180"/>
      <c r="C190" s="357"/>
      <c r="D190" s="358"/>
      <c r="E190" s="185">
        <f t="shared" si="14"/>
        <v>0</v>
      </c>
      <c r="F190" s="359"/>
      <c r="G190" s="349"/>
      <c r="H190" s="206"/>
      <c r="I190" s="206"/>
      <c r="J190" s="297">
        <f t="shared" si="15"/>
        <v>0</v>
      </c>
      <c r="K190" s="309"/>
      <c r="L190" s="191"/>
      <c r="M190" s="194" t="str">
        <f t="shared" si="16"/>
        <v/>
      </c>
      <c r="N190" s="193" t="str">
        <f t="shared" si="17"/>
        <v/>
      </c>
      <c r="O190" s="195" t="str">
        <f t="shared" si="18"/>
        <v/>
      </c>
      <c r="P190" s="252"/>
      <c r="Q190" s="466"/>
      <c r="R190" s="467"/>
      <c r="S190" s="467"/>
      <c r="T190" s="468"/>
      <c r="U190" s="261"/>
      <c r="V190" s="261"/>
      <c r="W190" s="261"/>
      <c r="X190" s="262"/>
      <c r="Y190" s="261"/>
    </row>
    <row r="191" spans="2:25" ht="15.75" hidden="1" outlineLevel="1" thickBot="1" x14ac:dyDescent="0.3">
      <c r="B191" s="180"/>
      <c r="C191" s="357"/>
      <c r="D191" s="358"/>
      <c r="E191" s="185">
        <f t="shared" si="14"/>
        <v>0</v>
      </c>
      <c r="F191" s="359"/>
      <c r="G191" s="349"/>
      <c r="H191" s="206"/>
      <c r="I191" s="206"/>
      <c r="J191" s="297">
        <f t="shared" si="15"/>
        <v>0</v>
      </c>
      <c r="K191" s="309"/>
      <c r="L191" s="191"/>
      <c r="M191" s="194" t="str">
        <f t="shared" si="16"/>
        <v/>
      </c>
      <c r="N191" s="193" t="str">
        <f t="shared" si="17"/>
        <v/>
      </c>
      <c r="O191" s="195" t="str">
        <f t="shared" si="18"/>
        <v/>
      </c>
      <c r="P191" s="252"/>
      <c r="Q191" s="466"/>
      <c r="R191" s="467"/>
      <c r="S191" s="467"/>
      <c r="T191" s="468"/>
      <c r="U191" s="261"/>
      <c r="V191" s="261"/>
      <c r="W191" s="261"/>
      <c r="X191" s="262"/>
      <c r="Y191" s="261"/>
    </row>
    <row r="192" spans="2:25" ht="15.75" hidden="1" outlineLevel="1" thickBot="1" x14ac:dyDescent="0.3">
      <c r="B192" s="180"/>
      <c r="C192" s="357"/>
      <c r="D192" s="358"/>
      <c r="E192" s="185">
        <f t="shared" si="14"/>
        <v>0</v>
      </c>
      <c r="F192" s="359"/>
      <c r="G192" s="349"/>
      <c r="H192" s="206"/>
      <c r="I192" s="206"/>
      <c r="J192" s="297">
        <f t="shared" si="15"/>
        <v>0</v>
      </c>
      <c r="K192" s="309"/>
      <c r="L192" s="191"/>
      <c r="M192" s="194" t="str">
        <f t="shared" si="16"/>
        <v/>
      </c>
      <c r="N192" s="193" t="str">
        <f t="shared" si="17"/>
        <v/>
      </c>
      <c r="O192" s="195" t="str">
        <f t="shared" si="18"/>
        <v/>
      </c>
      <c r="P192" s="252"/>
      <c r="Q192" s="466"/>
      <c r="R192" s="467"/>
      <c r="S192" s="467"/>
      <c r="T192" s="468"/>
      <c r="U192" s="261"/>
      <c r="V192" s="261"/>
      <c r="W192" s="261"/>
      <c r="X192" s="262"/>
      <c r="Y192" s="261"/>
    </row>
    <row r="193" spans="2:25" ht="15.75" hidden="1" outlineLevel="1" thickBot="1" x14ac:dyDescent="0.3">
      <c r="B193" s="180"/>
      <c r="C193" s="357"/>
      <c r="D193" s="358"/>
      <c r="E193" s="185">
        <f t="shared" si="14"/>
        <v>0</v>
      </c>
      <c r="F193" s="359"/>
      <c r="G193" s="349"/>
      <c r="H193" s="206"/>
      <c r="I193" s="206"/>
      <c r="J193" s="297">
        <f t="shared" si="15"/>
        <v>0</v>
      </c>
      <c r="K193" s="309"/>
      <c r="L193" s="191"/>
      <c r="M193" s="194" t="str">
        <f t="shared" si="16"/>
        <v/>
      </c>
      <c r="N193" s="193" t="str">
        <f t="shared" si="17"/>
        <v/>
      </c>
      <c r="O193" s="195" t="str">
        <f t="shared" si="18"/>
        <v/>
      </c>
      <c r="P193" s="252"/>
      <c r="Q193" s="466"/>
      <c r="R193" s="467"/>
      <c r="S193" s="467"/>
      <c r="T193" s="468"/>
      <c r="U193" s="261"/>
      <c r="V193" s="261"/>
      <c r="W193" s="261"/>
      <c r="X193" s="262"/>
      <c r="Y193" s="261"/>
    </row>
    <row r="194" spans="2:25" ht="15.75" hidden="1" outlineLevel="1" thickBot="1" x14ac:dyDescent="0.3">
      <c r="B194" s="180"/>
      <c r="C194" s="357"/>
      <c r="D194" s="358"/>
      <c r="E194" s="185">
        <f t="shared" si="14"/>
        <v>0</v>
      </c>
      <c r="F194" s="359"/>
      <c r="G194" s="349"/>
      <c r="H194" s="206"/>
      <c r="I194" s="206"/>
      <c r="J194" s="297">
        <f t="shared" si="15"/>
        <v>0</v>
      </c>
      <c r="K194" s="309"/>
      <c r="L194" s="191"/>
      <c r="M194" s="194" t="str">
        <f t="shared" si="16"/>
        <v/>
      </c>
      <c r="N194" s="193" t="str">
        <f t="shared" si="17"/>
        <v/>
      </c>
      <c r="O194" s="195" t="str">
        <f t="shared" si="18"/>
        <v/>
      </c>
      <c r="P194" s="252"/>
      <c r="Q194" s="466"/>
      <c r="R194" s="467"/>
      <c r="S194" s="467"/>
      <c r="T194" s="468"/>
      <c r="U194" s="261"/>
      <c r="V194" s="261"/>
      <c r="W194" s="261"/>
      <c r="X194" s="262"/>
      <c r="Y194" s="261"/>
    </row>
    <row r="195" spans="2:25" ht="15.75" hidden="1" outlineLevel="1" thickBot="1" x14ac:dyDescent="0.3">
      <c r="B195" s="180"/>
      <c r="C195" s="357"/>
      <c r="D195" s="358"/>
      <c r="E195" s="185">
        <f t="shared" si="14"/>
        <v>0</v>
      </c>
      <c r="F195" s="359"/>
      <c r="G195" s="349"/>
      <c r="H195" s="206"/>
      <c r="I195" s="206"/>
      <c r="J195" s="297">
        <f t="shared" si="15"/>
        <v>0</v>
      </c>
      <c r="K195" s="309"/>
      <c r="L195" s="191"/>
      <c r="M195" s="194" t="str">
        <f t="shared" si="16"/>
        <v/>
      </c>
      <c r="N195" s="193" t="str">
        <f t="shared" si="17"/>
        <v/>
      </c>
      <c r="O195" s="195" t="str">
        <f t="shared" si="18"/>
        <v/>
      </c>
      <c r="P195" s="252"/>
      <c r="Q195" s="466"/>
      <c r="R195" s="467"/>
      <c r="S195" s="467"/>
      <c r="T195" s="468"/>
      <c r="U195" s="261"/>
      <c r="V195" s="261"/>
      <c r="W195" s="261"/>
      <c r="X195" s="262"/>
      <c r="Y195" s="261"/>
    </row>
    <row r="196" spans="2:25" ht="15.75" hidden="1" outlineLevel="1" thickBot="1" x14ac:dyDescent="0.3">
      <c r="B196" s="180"/>
      <c r="C196" s="357"/>
      <c r="D196" s="358"/>
      <c r="E196" s="185">
        <f t="shared" si="14"/>
        <v>0</v>
      </c>
      <c r="F196" s="359"/>
      <c r="G196" s="349"/>
      <c r="H196" s="206"/>
      <c r="I196" s="206"/>
      <c r="J196" s="297">
        <f t="shared" si="15"/>
        <v>0</v>
      </c>
      <c r="K196" s="309"/>
      <c r="L196" s="191"/>
      <c r="M196" s="194" t="str">
        <f t="shared" si="16"/>
        <v/>
      </c>
      <c r="N196" s="193" t="str">
        <f t="shared" si="17"/>
        <v/>
      </c>
      <c r="O196" s="195" t="str">
        <f t="shared" si="18"/>
        <v/>
      </c>
      <c r="P196" s="252"/>
      <c r="Q196" s="466"/>
      <c r="R196" s="467"/>
      <c r="S196" s="467"/>
      <c r="T196" s="468"/>
      <c r="U196" s="261"/>
      <c r="V196" s="261"/>
      <c r="W196" s="261"/>
      <c r="X196" s="262"/>
      <c r="Y196" s="261"/>
    </row>
    <row r="197" spans="2:25" ht="15.75" hidden="1" outlineLevel="1" thickBot="1" x14ac:dyDescent="0.3">
      <c r="B197" s="180"/>
      <c r="C197" s="357"/>
      <c r="D197" s="358"/>
      <c r="E197" s="185">
        <f t="shared" si="14"/>
        <v>0</v>
      </c>
      <c r="F197" s="359"/>
      <c r="G197" s="349"/>
      <c r="H197" s="206"/>
      <c r="I197" s="206"/>
      <c r="J197" s="297">
        <f t="shared" si="15"/>
        <v>0</v>
      </c>
      <c r="K197" s="309"/>
      <c r="L197" s="191"/>
      <c r="M197" s="194" t="str">
        <f t="shared" si="16"/>
        <v/>
      </c>
      <c r="N197" s="193" t="str">
        <f t="shared" si="17"/>
        <v/>
      </c>
      <c r="O197" s="195" t="str">
        <f t="shared" si="18"/>
        <v/>
      </c>
      <c r="P197" s="252"/>
      <c r="Q197" s="466"/>
      <c r="R197" s="467"/>
      <c r="S197" s="467"/>
      <c r="T197" s="468"/>
      <c r="U197" s="261"/>
      <c r="V197" s="261"/>
      <c r="W197" s="261"/>
      <c r="X197" s="262"/>
      <c r="Y197" s="261"/>
    </row>
    <row r="198" spans="2:25" ht="15.75" hidden="1" outlineLevel="1" thickBot="1" x14ac:dyDescent="0.3">
      <c r="B198" s="180"/>
      <c r="C198" s="357"/>
      <c r="D198" s="358"/>
      <c r="E198" s="185">
        <f t="shared" si="14"/>
        <v>0</v>
      </c>
      <c r="F198" s="359"/>
      <c r="G198" s="349"/>
      <c r="H198" s="206"/>
      <c r="I198" s="206"/>
      <c r="J198" s="297">
        <f t="shared" si="15"/>
        <v>0</v>
      </c>
      <c r="K198" s="309"/>
      <c r="L198" s="191"/>
      <c r="M198" s="194" t="str">
        <f t="shared" si="16"/>
        <v/>
      </c>
      <c r="N198" s="193" t="str">
        <f t="shared" si="17"/>
        <v/>
      </c>
      <c r="O198" s="195" t="str">
        <f t="shared" si="18"/>
        <v/>
      </c>
      <c r="P198" s="252"/>
      <c r="Q198" s="466"/>
      <c r="R198" s="467"/>
      <c r="S198" s="467"/>
      <c r="T198" s="468"/>
      <c r="U198" s="261"/>
      <c r="V198" s="261"/>
      <c r="W198" s="261"/>
      <c r="X198" s="262"/>
      <c r="Y198" s="261"/>
    </row>
    <row r="199" spans="2:25" ht="15.75" hidden="1" outlineLevel="1" thickBot="1" x14ac:dyDescent="0.3">
      <c r="B199" s="180"/>
      <c r="C199" s="357"/>
      <c r="D199" s="358"/>
      <c r="E199" s="185">
        <f t="shared" si="14"/>
        <v>0</v>
      </c>
      <c r="F199" s="359"/>
      <c r="G199" s="349"/>
      <c r="H199" s="206"/>
      <c r="I199" s="206"/>
      <c r="J199" s="297">
        <f t="shared" si="15"/>
        <v>0</v>
      </c>
      <c r="K199" s="309"/>
      <c r="L199" s="191"/>
      <c r="M199" s="194" t="str">
        <f t="shared" si="16"/>
        <v/>
      </c>
      <c r="N199" s="193" t="str">
        <f t="shared" si="17"/>
        <v/>
      </c>
      <c r="O199" s="195" t="str">
        <f t="shared" si="18"/>
        <v/>
      </c>
      <c r="P199" s="252"/>
      <c r="Q199" s="466"/>
      <c r="R199" s="467"/>
      <c r="S199" s="467"/>
      <c r="T199" s="468"/>
      <c r="U199" s="261"/>
      <c r="V199" s="261"/>
      <c r="W199" s="261"/>
      <c r="X199" s="262"/>
      <c r="Y199" s="261"/>
    </row>
    <row r="200" spans="2:25" ht="15.75" hidden="1" outlineLevel="1" thickBot="1" x14ac:dyDescent="0.3">
      <c r="B200" s="180"/>
      <c r="C200" s="357"/>
      <c r="D200" s="358"/>
      <c r="E200" s="185">
        <f t="shared" si="14"/>
        <v>0</v>
      </c>
      <c r="F200" s="359"/>
      <c r="G200" s="349"/>
      <c r="H200" s="206"/>
      <c r="I200" s="206"/>
      <c r="J200" s="297">
        <f t="shared" si="15"/>
        <v>0</v>
      </c>
      <c r="K200" s="309"/>
      <c r="L200" s="191"/>
      <c r="M200" s="194" t="str">
        <f t="shared" si="16"/>
        <v/>
      </c>
      <c r="N200" s="193" t="str">
        <f t="shared" si="17"/>
        <v/>
      </c>
      <c r="O200" s="195" t="str">
        <f t="shared" si="18"/>
        <v/>
      </c>
      <c r="P200" s="252"/>
      <c r="Q200" s="466"/>
      <c r="R200" s="467"/>
      <c r="S200" s="467"/>
      <c r="T200" s="468"/>
      <c r="U200" s="261"/>
      <c r="V200" s="261"/>
      <c r="W200" s="261"/>
      <c r="X200" s="262"/>
      <c r="Y200" s="261"/>
    </row>
    <row r="201" spans="2:25" ht="15.75" hidden="1" outlineLevel="1" thickBot="1" x14ac:dyDescent="0.3">
      <c r="B201" s="180"/>
      <c r="C201" s="357"/>
      <c r="D201" s="358"/>
      <c r="E201" s="185">
        <f t="shared" si="14"/>
        <v>0</v>
      </c>
      <c r="F201" s="359"/>
      <c r="G201" s="349"/>
      <c r="H201" s="206"/>
      <c r="I201" s="206"/>
      <c r="J201" s="297">
        <f t="shared" si="15"/>
        <v>0</v>
      </c>
      <c r="K201" s="309"/>
      <c r="L201" s="191"/>
      <c r="M201" s="194" t="str">
        <f t="shared" si="16"/>
        <v/>
      </c>
      <c r="N201" s="193" t="str">
        <f t="shared" si="17"/>
        <v/>
      </c>
      <c r="O201" s="195" t="str">
        <f t="shared" si="18"/>
        <v/>
      </c>
      <c r="P201" s="252"/>
      <c r="Q201" s="466"/>
      <c r="R201" s="467"/>
      <c r="S201" s="467"/>
      <c r="T201" s="468"/>
      <c r="U201" s="261"/>
      <c r="V201" s="261"/>
      <c r="W201" s="261"/>
      <c r="X201" s="262"/>
      <c r="Y201" s="261"/>
    </row>
    <row r="202" spans="2:25" ht="15.75" hidden="1" outlineLevel="1" thickBot="1" x14ac:dyDescent="0.3">
      <c r="B202" s="180"/>
      <c r="C202" s="360"/>
      <c r="D202" s="361"/>
      <c r="E202" s="342">
        <f t="shared" si="14"/>
        <v>0</v>
      </c>
      <c r="F202" s="362"/>
      <c r="G202" s="349"/>
      <c r="H202" s="206"/>
      <c r="I202" s="206"/>
      <c r="J202" s="297">
        <f t="shared" si="15"/>
        <v>0</v>
      </c>
      <c r="K202" s="309"/>
      <c r="L202" s="191"/>
      <c r="M202" s="194" t="str">
        <f t="shared" si="16"/>
        <v/>
      </c>
      <c r="N202" s="193" t="str">
        <f t="shared" si="17"/>
        <v/>
      </c>
      <c r="O202" s="195" t="str">
        <f t="shared" si="18"/>
        <v/>
      </c>
      <c r="P202" s="252">
        <v>41045</v>
      </c>
      <c r="Q202" s="469"/>
      <c r="R202" s="470"/>
      <c r="S202" s="470"/>
      <c r="T202" s="471"/>
      <c r="U202" s="261"/>
      <c r="V202" s="261"/>
      <c r="W202" s="261"/>
      <c r="X202" s="262"/>
      <c r="Y202" s="261"/>
    </row>
    <row r="203" spans="2:25" collapsed="1" x14ac:dyDescent="0.25">
      <c r="B203" s="128"/>
      <c r="C203" s="278" t="s">
        <v>158</v>
      </c>
      <c r="D203" s="278" t="s">
        <v>159</v>
      </c>
      <c r="E203" s="278" t="s">
        <v>160</v>
      </c>
      <c r="F203" s="279"/>
      <c r="G203" s="280"/>
      <c r="H203" s="210"/>
      <c r="I203" s="211"/>
      <c r="J203" s="272"/>
      <c r="K203" s="273"/>
      <c r="L203" s="273"/>
      <c r="M203" s="281"/>
      <c r="N203" s="282"/>
      <c r="O203" s="283"/>
    </row>
    <row r="204" spans="2:25" ht="15.75" thickBot="1" x14ac:dyDescent="0.3">
      <c r="B204" s="129"/>
      <c r="C204" s="131">
        <f t="shared" ref="C204:J204" si="19">SUM(C52:C202)</f>
        <v>0</v>
      </c>
      <c r="D204" s="131">
        <f t="shared" si="19"/>
        <v>0</v>
      </c>
      <c r="E204" s="131">
        <f t="shared" si="19"/>
        <v>0</v>
      </c>
      <c r="F204" s="189">
        <f t="shared" si="19"/>
        <v>0</v>
      </c>
      <c r="G204" s="192">
        <f t="shared" si="19"/>
        <v>0</v>
      </c>
      <c r="H204" s="213">
        <f t="shared" si="19"/>
        <v>0</v>
      </c>
      <c r="I204" s="214">
        <f t="shared" si="19"/>
        <v>0</v>
      </c>
      <c r="J204" s="274">
        <f t="shared" si="19"/>
        <v>0</v>
      </c>
      <c r="K204" s="275"/>
      <c r="L204" s="275"/>
      <c r="M204" s="201" t="e">
        <f>(G204-F204)/G204</f>
        <v>#DIV/0!</v>
      </c>
      <c r="N204" s="200" t="e">
        <f>(C204+H204)/G204</f>
        <v>#DIV/0!</v>
      </c>
      <c r="O204" s="199">
        <f>SUM(O36:O202)</f>
        <v>0</v>
      </c>
    </row>
    <row r="205" spans="2:25" ht="15.75" customHeight="1" thickBot="1" x14ac:dyDescent="0.3"/>
    <row r="206" spans="2:25" ht="15.75" customHeight="1" x14ac:dyDescent="0.25">
      <c r="B206" s="124"/>
      <c r="C206" s="68"/>
      <c r="D206" s="68"/>
      <c r="E206" s="127"/>
      <c r="F206" s="68"/>
      <c r="G206" s="68"/>
      <c r="H206" s="68"/>
      <c r="I206" s="68"/>
      <c r="J206" s="125"/>
      <c r="K206" s="305"/>
      <c r="M206" s="463" t="s">
        <v>161</v>
      </c>
      <c r="N206" s="464"/>
      <c r="O206" s="464"/>
      <c r="P206" s="464"/>
      <c r="Q206" s="465"/>
    </row>
    <row r="207" spans="2:25" ht="15.75" thickBot="1" x14ac:dyDescent="0.3">
      <c r="B207" s="67" t="s">
        <v>162</v>
      </c>
      <c r="C207" s="141" t="s">
        <v>163</v>
      </c>
      <c r="D207" s="155"/>
      <c r="E207" s="141" t="s">
        <v>113</v>
      </c>
      <c r="F207" s="142" t="s">
        <v>164</v>
      </c>
      <c r="G207" s="143" t="s">
        <v>119</v>
      </c>
      <c r="H207" s="123"/>
      <c r="I207" s="123"/>
      <c r="J207" s="126"/>
      <c r="K207" s="305"/>
      <c r="M207" s="466"/>
      <c r="N207" s="467"/>
      <c r="O207" s="467"/>
      <c r="P207" s="467"/>
      <c r="Q207" s="468"/>
    </row>
    <row r="208" spans="2:25" x14ac:dyDescent="0.25">
      <c r="B208" s="72"/>
      <c r="C208" s="88"/>
      <c r="D208" s="89"/>
      <c r="E208" s="96"/>
      <c r="F208" s="72"/>
      <c r="G208" s="493"/>
      <c r="H208" s="493"/>
      <c r="I208" s="493"/>
      <c r="J208" s="494"/>
      <c r="K208" s="306"/>
      <c r="M208" s="466"/>
      <c r="N208" s="467"/>
      <c r="O208" s="467"/>
      <c r="P208" s="467"/>
      <c r="Q208" s="468"/>
    </row>
    <row r="209" spans="1:18" x14ac:dyDescent="0.25">
      <c r="B209" s="58"/>
      <c r="C209" s="59"/>
      <c r="D209" s="59"/>
      <c r="E209" s="60"/>
      <c r="F209" s="58"/>
      <c r="G209" s="482"/>
      <c r="H209" s="482"/>
      <c r="I209" s="482"/>
      <c r="J209" s="483"/>
      <c r="K209" s="306"/>
      <c r="M209" s="466"/>
      <c r="N209" s="467"/>
      <c r="O209" s="467"/>
      <c r="P209" s="467"/>
      <c r="Q209" s="468"/>
      <c r="R209" s="258"/>
    </row>
    <row r="210" spans="1:18" x14ac:dyDescent="0.25">
      <c r="B210" s="58"/>
      <c r="C210" s="59"/>
      <c r="D210" s="59"/>
      <c r="E210" s="60"/>
      <c r="F210" s="58"/>
      <c r="G210" s="482"/>
      <c r="H210" s="482"/>
      <c r="I210" s="482"/>
      <c r="J210" s="483"/>
      <c r="K210" s="306"/>
      <c r="M210" s="466"/>
      <c r="N210" s="467"/>
      <c r="O210" s="467"/>
      <c r="P210" s="467"/>
      <c r="Q210" s="468"/>
      <c r="R210" s="258"/>
    </row>
    <row r="211" spans="1:18" x14ac:dyDescent="0.25">
      <c r="B211" s="58"/>
      <c r="C211" s="59"/>
      <c r="D211" s="59"/>
      <c r="E211" s="60"/>
      <c r="F211" s="58"/>
      <c r="G211" s="482"/>
      <c r="H211" s="482"/>
      <c r="I211" s="482"/>
      <c r="J211" s="483"/>
      <c r="K211" s="306"/>
      <c r="M211" s="466"/>
      <c r="N211" s="467"/>
      <c r="O211" s="467"/>
      <c r="P211" s="467"/>
      <c r="Q211" s="468"/>
      <c r="R211" s="258"/>
    </row>
    <row r="212" spans="1:18" x14ac:dyDescent="0.25">
      <c r="B212" s="58"/>
      <c r="C212" s="59"/>
      <c r="D212" s="59"/>
      <c r="E212" s="60"/>
      <c r="F212" s="58"/>
      <c r="G212" s="482"/>
      <c r="H212" s="482"/>
      <c r="I212" s="482"/>
      <c r="J212" s="483"/>
      <c r="K212" s="306"/>
      <c r="M212" s="466"/>
      <c r="N212" s="467"/>
      <c r="O212" s="467"/>
      <c r="P212" s="467"/>
      <c r="Q212" s="468"/>
      <c r="R212" s="258"/>
    </row>
    <row r="213" spans="1:18" x14ac:dyDescent="0.25">
      <c r="B213" s="58"/>
      <c r="C213" s="59"/>
      <c r="D213" s="59"/>
      <c r="E213" s="60"/>
      <c r="F213" s="58"/>
      <c r="G213" s="482"/>
      <c r="H213" s="482"/>
      <c r="I213" s="482"/>
      <c r="J213" s="483"/>
      <c r="K213" s="306"/>
      <c r="M213" s="466"/>
      <c r="N213" s="467"/>
      <c r="O213" s="467"/>
      <c r="P213" s="467"/>
      <c r="Q213" s="468"/>
      <c r="R213" s="258"/>
    </row>
    <row r="214" spans="1:18" x14ac:dyDescent="0.25">
      <c r="B214" s="61"/>
      <c r="C214" s="62"/>
      <c r="D214" s="62"/>
      <c r="E214" s="63"/>
      <c r="F214" s="61"/>
      <c r="G214" s="482"/>
      <c r="H214" s="482"/>
      <c r="I214" s="482"/>
      <c r="J214" s="483"/>
      <c r="K214" s="306"/>
      <c r="M214" s="466"/>
      <c r="N214" s="467"/>
      <c r="O214" s="467"/>
      <c r="P214" s="467"/>
      <c r="Q214" s="468"/>
      <c r="R214" s="258"/>
    </row>
    <row r="215" spans="1:18" ht="15.75" thickBot="1" x14ac:dyDescent="0.3">
      <c r="B215" s="64"/>
      <c r="C215" s="65"/>
      <c r="D215" s="65"/>
      <c r="E215" s="66"/>
      <c r="F215" s="61"/>
      <c r="G215" s="539"/>
      <c r="H215" s="539"/>
      <c r="I215" s="539"/>
      <c r="J215" s="540"/>
      <c r="K215" s="306"/>
      <c r="M215" s="466"/>
      <c r="N215" s="467"/>
      <c r="O215" s="467"/>
      <c r="P215" s="467"/>
      <c r="Q215" s="468"/>
      <c r="R215" s="258"/>
    </row>
    <row r="216" spans="1:18" ht="15.75" thickBot="1" x14ac:dyDescent="0.3">
      <c r="C216" s="67" t="s">
        <v>78</v>
      </c>
      <c r="D216" s="242"/>
      <c r="E216" s="268">
        <f>+SUM(E208:E215)</f>
        <v>0</v>
      </c>
      <c r="F216" s="269" t="s">
        <v>165</v>
      </c>
      <c r="G216" s="541"/>
      <c r="H216" s="541"/>
      <c r="I216" s="541"/>
      <c r="J216" s="542"/>
      <c r="K216" s="307"/>
      <c r="M216" s="469"/>
      <c r="N216" s="470"/>
      <c r="O216" s="470"/>
      <c r="P216" s="470"/>
      <c r="Q216" s="471"/>
      <c r="R216" s="258"/>
    </row>
    <row r="217" spans="1:18" ht="15.75" thickBot="1" x14ac:dyDescent="0.3"/>
    <row r="218" spans="1:18" x14ac:dyDescent="0.25">
      <c r="B218" s="14" t="s">
        <v>166</v>
      </c>
      <c r="C218" s="6" t="s">
        <v>76</v>
      </c>
      <c r="D218" s="6" t="s">
        <v>77</v>
      </c>
      <c r="E218" s="15" t="s">
        <v>167</v>
      </c>
      <c r="M218" s="463" t="s">
        <v>168</v>
      </c>
      <c r="N218" s="464"/>
      <c r="O218" s="464"/>
      <c r="P218" s="464"/>
      <c r="Q218" s="465"/>
      <c r="R218" s="258"/>
    </row>
    <row r="219" spans="1:18" x14ac:dyDescent="0.25">
      <c r="A219" s="130" t="s">
        <v>123</v>
      </c>
      <c r="B219" s="16" t="s">
        <v>169</v>
      </c>
      <c r="C219" s="3">
        <f>E220</f>
        <v>10568.78</v>
      </c>
      <c r="D219" s="3">
        <f>F48</f>
        <v>0</v>
      </c>
      <c r="E219" s="17">
        <f>C219-D219</f>
        <v>10568.78</v>
      </c>
      <c r="M219" s="466"/>
      <c r="N219" s="467"/>
      <c r="O219" s="467"/>
      <c r="P219" s="467"/>
      <c r="Q219" s="468"/>
      <c r="R219" s="258"/>
    </row>
    <row r="220" spans="1:18" x14ac:dyDescent="0.25">
      <c r="A220" s="130" t="s">
        <v>159</v>
      </c>
      <c r="B220" s="16" t="s">
        <v>170</v>
      </c>
      <c r="C220" s="3">
        <f>I24</f>
        <v>10568.78</v>
      </c>
      <c r="D220" s="3">
        <f>D204-H204</f>
        <v>0</v>
      </c>
      <c r="E220" s="17">
        <f>C220-D220</f>
        <v>10568.78</v>
      </c>
      <c r="M220" s="466"/>
      <c r="N220" s="467"/>
      <c r="O220" s="467"/>
      <c r="P220" s="467"/>
      <c r="Q220" s="468"/>
      <c r="R220" s="258"/>
    </row>
    <row r="221" spans="1:18" x14ac:dyDescent="0.25">
      <c r="A221" s="130" t="s">
        <v>158</v>
      </c>
      <c r="B221" s="16" t="s">
        <v>171</v>
      </c>
      <c r="C221" s="3">
        <f>H24</f>
        <v>2096.5</v>
      </c>
      <c r="D221" s="3">
        <f>C204+H204</f>
        <v>0</v>
      </c>
      <c r="E221" s="17">
        <f>C221-D221</f>
        <v>2096.5</v>
      </c>
      <c r="M221" s="466"/>
      <c r="N221" s="467"/>
      <c r="O221" s="467"/>
      <c r="P221" s="467"/>
      <c r="Q221" s="468"/>
      <c r="R221" s="258"/>
    </row>
    <row r="222" spans="1:18" x14ac:dyDescent="0.25">
      <c r="A222" s="130" t="s">
        <v>114</v>
      </c>
      <c r="B222" s="16" t="s">
        <v>55</v>
      </c>
      <c r="C222" s="3">
        <f>D24</f>
        <v>250</v>
      </c>
      <c r="D222" s="3">
        <f>C29</f>
        <v>0</v>
      </c>
      <c r="E222" s="17">
        <f>C222-D222</f>
        <v>250</v>
      </c>
      <c r="M222" s="466"/>
      <c r="N222" s="467"/>
      <c r="O222" s="467"/>
      <c r="P222" s="467"/>
      <c r="Q222" s="468"/>
      <c r="R222" s="258"/>
    </row>
    <row r="223" spans="1:18" x14ac:dyDescent="0.25">
      <c r="A223" s="130" t="s">
        <v>115</v>
      </c>
      <c r="B223" s="16" t="s">
        <v>79</v>
      </c>
      <c r="C223" s="3">
        <f>F24</f>
        <v>1000</v>
      </c>
      <c r="D223" s="3">
        <f>E29</f>
        <v>0</v>
      </c>
      <c r="E223" s="17">
        <f>C223-D223</f>
        <v>1000</v>
      </c>
      <c r="M223" s="466"/>
      <c r="N223" s="467"/>
      <c r="O223" s="467"/>
      <c r="P223" s="467"/>
      <c r="Q223" s="468"/>
      <c r="R223" s="258"/>
    </row>
    <row r="224" spans="1:18" ht="15.75" thickBot="1" x14ac:dyDescent="0.3">
      <c r="A224" s="130" t="s">
        <v>165</v>
      </c>
      <c r="B224" s="16" t="s">
        <v>172</v>
      </c>
      <c r="C224" s="3">
        <v>0</v>
      </c>
      <c r="D224" s="69">
        <f>+E216</f>
        <v>0</v>
      </c>
      <c r="E224" s="17"/>
      <c r="M224" s="466"/>
      <c r="N224" s="467"/>
      <c r="O224" s="467"/>
      <c r="P224" s="467"/>
      <c r="Q224" s="468"/>
      <c r="R224" s="258"/>
    </row>
    <row r="225" spans="2:18" ht="15.75" thickBot="1" x14ac:dyDescent="0.3">
      <c r="B225" s="247" t="s">
        <v>78</v>
      </c>
      <c r="C225" s="248">
        <f>SUM(C220:C223)</f>
        <v>13915.28</v>
      </c>
      <c r="D225" s="248">
        <f>SUM(D219:D224)</f>
        <v>0</v>
      </c>
      <c r="E225" s="249">
        <f>E223+E222+E221+E219</f>
        <v>13915.28</v>
      </c>
      <c r="M225" s="466"/>
      <c r="N225" s="467"/>
      <c r="O225" s="467"/>
      <c r="P225" s="467"/>
      <c r="Q225" s="468"/>
      <c r="R225" s="258"/>
    </row>
    <row r="226" spans="2:18" x14ac:dyDescent="0.25">
      <c r="B226" s="28" t="s">
        <v>173</v>
      </c>
      <c r="C226" s="245"/>
      <c r="D226" s="246">
        <f>+C226*50</f>
        <v>0</v>
      </c>
      <c r="E226" s="150"/>
      <c r="G226" s="508" t="s">
        <v>174</v>
      </c>
      <c r="H226" s="509"/>
      <c r="I226" s="510"/>
      <c r="M226" s="466"/>
      <c r="N226" s="467"/>
      <c r="O226" s="467"/>
      <c r="P226" s="467"/>
      <c r="Q226" s="468"/>
      <c r="R226" s="258"/>
    </row>
    <row r="227" spans="2:18" x14ac:dyDescent="0.25">
      <c r="B227" s="28" t="s">
        <v>175</v>
      </c>
      <c r="C227" s="135"/>
      <c r="D227" s="154">
        <f>+C227*50</f>
        <v>0</v>
      </c>
      <c r="E227" s="150"/>
      <c r="G227" s="511"/>
      <c r="H227" s="512"/>
      <c r="I227" s="513"/>
      <c r="M227" s="466"/>
      <c r="N227" s="467"/>
      <c r="O227" s="467"/>
      <c r="P227" s="467"/>
      <c r="Q227" s="468"/>
      <c r="R227" s="258"/>
    </row>
    <row r="228" spans="2:18" x14ac:dyDescent="0.25">
      <c r="B228" s="16" t="s">
        <v>176</v>
      </c>
      <c r="D228" s="183">
        <f>F204</f>
        <v>0</v>
      </c>
      <c r="E228" s="151"/>
      <c r="G228" s="511"/>
      <c r="H228" s="512"/>
      <c r="I228" s="513"/>
      <c r="M228" s="466"/>
      <c r="N228" s="467"/>
      <c r="O228" s="467"/>
      <c r="P228" s="467"/>
      <c r="Q228" s="468"/>
      <c r="R228" s="258"/>
    </row>
    <row r="229" spans="2:18" ht="15.75" thickBot="1" x14ac:dyDescent="0.3">
      <c r="B229" s="16" t="s">
        <v>177</v>
      </c>
      <c r="D229" s="144">
        <v>14000</v>
      </c>
      <c r="E229" s="152"/>
      <c r="G229" s="514"/>
      <c r="H229" s="515"/>
      <c r="I229" s="516"/>
      <c r="M229" s="466"/>
      <c r="N229" s="467"/>
      <c r="O229" s="467"/>
      <c r="P229" s="467"/>
      <c r="Q229" s="468"/>
      <c r="R229" s="258"/>
    </row>
    <row r="230" spans="2:18" ht="15.75" thickBot="1" x14ac:dyDescent="0.3">
      <c r="B230" s="90" t="s">
        <v>62</v>
      </c>
      <c r="C230" s="93">
        <f>J24</f>
        <v>13915.28</v>
      </c>
      <c r="D230" s="93">
        <f>D229+D225+D228+D227+D226</f>
        <v>14000</v>
      </c>
      <c r="E230" s="91">
        <f>C230-D230</f>
        <v>-84.719999999999345</v>
      </c>
      <c r="M230" s="466"/>
      <c r="N230" s="467"/>
      <c r="O230" s="467"/>
      <c r="P230" s="467"/>
      <c r="Q230" s="468"/>
      <c r="R230" s="258"/>
    </row>
    <row r="231" spans="2:18" ht="15.75" thickBot="1" x14ac:dyDescent="0.3">
      <c r="B231" s="92" t="s">
        <v>178</v>
      </c>
      <c r="C231" s="94">
        <f>F4</f>
        <v>27274.5</v>
      </c>
      <c r="D231" s="95">
        <f>C231-D230</f>
        <v>13274.5</v>
      </c>
      <c r="E231" s="22">
        <f>D230/C230</f>
        <v>1.0060882713103869</v>
      </c>
      <c r="M231" s="469"/>
      <c r="N231" s="470"/>
      <c r="O231" s="470"/>
      <c r="P231" s="470"/>
      <c r="Q231" s="471"/>
      <c r="R231" s="258"/>
    </row>
    <row r="232" spans="2:18" x14ac:dyDescent="0.25">
      <c r="D232" s="25"/>
    </row>
    <row r="233" spans="2:18" ht="23.25" x14ac:dyDescent="0.35">
      <c r="D233" s="23" t="s">
        <v>179</v>
      </c>
      <c r="E233" s="24">
        <f>(C231-(D230*1.05))/C231</f>
        <v>0.46103503272287299</v>
      </c>
    </row>
    <row r="238" spans="2:18" x14ac:dyDescent="0.25">
      <c r="E238"/>
    </row>
    <row r="239" spans="2:18" x14ac:dyDescent="0.25">
      <c r="E239"/>
    </row>
    <row r="240" spans="2:18" x14ac:dyDescent="0.25">
      <c r="E240"/>
    </row>
    <row r="241" spans="5:5" x14ac:dyDescent="0.25">
      <c r="E241"/>
    </row>
  </sheetData>
  <protectedRanges>
    <protectedRange sqref="B208:L208" name="Bereich1"/>
    <protectedRange sqref="N214" name="Bereich1_1"/>
  </protectedRanges>
  <mergeCells count="52">
    <mergeCell ref="M218:Q231"/>
    <mergeCell ref="G226:I229"/>
    <mergeCell ref="M206:Q216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B49:J49"/>
    <mergeCell ref="Q49:Y49"/>
    <mergeCell ref="C50:F50"/>
    <mergeCell ref="H50:J50"/>
    <mergeCell ref="M50:O50"/>
    <mergeCell ref="Q50:T202"/>
    <mergeCell ref="U50:V50"/>
    <mergeCell ref="W50:Z50"/>
    <mergeCell ref="M17:R19"/>
    <mergeCell ref="M21:R38"/>
    <mergeCell ref="F26:G26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31:E31"/>
    <mergeCell ref="D32:E32"/>
    <mergeCell ref="D33:E33"/>
    <mergeCell ref="D34:E34"/>
    <mergeCell ref="D35:E35"/>
    <mergeCell ref="B2:J2"/>
    <mergeCell ref="M2:R15"/>
    <mergeCell ref="C6:J6"/>
    <mergeCell ref="C7:J7"/>
    <mergeCell ref="C8:J8"/>
    <mergeCell ref="C9:J9"/>
    <mergeCell ref="B11:J11"/>
    <mergeCell ref="B12:B13"/>
    <mergeCell ref="C12:D12"/>
    <mergeCell ref="E12:F12"/>
    <mergeCell ref="G12:H12"/>
    <mergeCell ref="J12:J13"/>
  </mergeCells>
  <conditionalFormatting sqref="E231">
    <cfRule type="colorScale" priority="16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E233">
    <cfRule type="cellIs" dxfId="41" priority="13" stopIfTrue="1" operator="lessThanOrEqual">
      <formula>0.2</formula>
    </cfRule>
    <cfRule type="cellIs" dxfId="40" priority="14" operator="lessThanOrEqual">
      <formula>0.28</formula>
    </cfRule>
    <cfRule type="cellIs" dxfId="39" priority="15" operator="greaterThan">
      <formula>0.28</formula>
    </cfRule>
  </conditionalFormatting>
  <conditionalFormatting sqref="F52:F202">
    <cfRule type="expression" dxfId="38" priority="12">
      <formula>$F52&gt;$G52</formula>
    </cfRule>
  </conditionalFormatting>
  <conditionalFormatting sqref="H4">
    <cfRule type="expression" dxfId="37" priority="10">
      <formula>$H$4&gt;$G$4</formula>
    </cfRule>
    <cfRule type="expression" dxfId="36" priority="11">
      <formula>$H$4&lt;=$G$4</formula>
    </cfRule>
  </conditionalFormatting>
  <conditionalFormatting sqref="I4">
    <cfRule type="colorScale" priority="9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M52:O202">
    <cfRule type="expression" dxfId="35" priority="4">
      <formula>$M52&lt;0%</formula>
    </cfRule>
    <cfRule type="expression" dxfId="34" priority="5">
      <formula>$M52=0%</formula>
    </cfRule>
    <cfRule type="expression" dxfId="33" priority="6" stopIfTrue="1">
      <formula>AND($M52=100%,$N52&gt;100%)</formula>
    </cfRule>
    <cfRule type="expression" dxfId="32" priority="7" stopIfTrue="1">
      <formula>AND($M52=100%,$N52&lt;=100%)</formula>
    </cfRule>
    <cfRule type="expression" dxfId="31" priority="8" stopIfTrue="1">
      <formula>AND($N52&gt;($M52),$M52&gt;0)</formula>
    </cfRule>
  </conditionalFormatting>
  <conditionalFormatting sqref="M204:O204">
    <cfRule type="expression" dxfId="30" priority="1" stopIfTrue="1">
      <formula>AND($M204=100%,$N204&gt;100%)</formula>
    </cfRule>
    <cfRule type="expression" dxfId="29" priority="2" stopIfTrue="1">
      <formula>AND($M204=100%,$N204&lt;=100%)</formula>
    </cfRule>
    <cfRule type="expression" dxfId="28" priority="3" stopIfTrue="1">
      <formula>$N204&gt;$M204</formula>
    </cfRule>
  </conditionalFormatting>
  <pageMargins left="0.25" right="0.25" top="0.75" bottom="0.75" header="0.3" footer="0.3"/>
  <pageSetup paperSize="9" scale="52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4B6B-6E54-4B46-8D9E-F381AF1C75A0}">
  <sheetPr>
    <pageSetUpPr fitToPage="1"/>
  </sheetPr>
  <dimension ref="A1:Z241"/>
  <sheetViews>
    <sheetView showGridLines="0" zoomScaleNormal="100" workbookViewId="0">
      <selection activeCell="D230" sqref="D230"/>
    </sheetView>
  </sheetViews>
  <sheetFormatPr baseColWidth="10" defaultColWidth="11.42578125" defaultRowHeight="15" outlineLevelRow="1" x14ac:dyDescent="0.25"/>
  <cols>
    <col min="1" max="1" width="6.42578125" customWidth="1"/>
    <col min="2" max="2" width="27" bestFit="1" customWidth="1"/>
    <col min="3" max="3" width="12.42578125" bestFit="1" customWidth="1"/>
    <col min="4" max="4" width="17.140625" bestFit="1" customWidth="1"/>
    <col min="5" max="5" width="17.42578125" style="2" bestFit="1" customWidth="1"/>
    <col min="6" max="6" width="14.140625" customWidth="1"/>
    <col min="7" max="7" width="18.140625" customWidth="1"/>
    <col min="8" max="8" width="13.140625" customWidth="1"/>
    <col min="9" max="9" width="15" customWidth="1"/>
    <col min="10" max="10" width="13" bestFit="1" customWidth="1"/>
    <col min="11" max="11" width="16.5703125" customWidth="1"/>
    <col min="12" max="12" width="48.5703125" customWidth="1"/>
    <col min="13" max="13" width="12" customWidth="1"/>
    <col min="14" max="14" width="12.85546875" customWidth="1"/>
    <col min="15" max="15" width="17.42578125" customWidth="1"/>
    <col min="17" max="18" width="12" customWidth="1"/>
    <col min="19" max="20" width="14" customWidth="1"/>
    <col min="21" max="25" width="12" customWidth="1"/>
  </cols>
  <sheetData>
    <row r="1" spans="2:18" ht="15.75" thickBot="1" x14ac:dyDescent="0.3"/>
    <row r="2" spans="2:18" s="1" customFormat="1" x14ac:dyDescent="0.25">
      <c r="B2" s="454"/>
      <c r="C2" s="455"/>
      <c r="D2" s="455"/>
      <c r="E2" s="455"/>
      <c r="F2" s="455"/>
      <c r="G2" s="455"/>
      <c r="H2" s="455"/>
      <c r="I2" s="455"/>
      <c r="J2" s="456"/>
      <c r="K2" s="298"/>
      <c r="L2" s="2"/>
      <c r="M2" s="521" t="s">
        <v>180</v>
      </c>
      <c r="N2" s="522"/>
      <c r="O2" s="522"/>
      <c r="P2" s="522"/>
      <c r="Q2" s="522"/>
      <c r="R2" s="523"/>
    </row>
    <row r="3" spans="2:18" s="2" customFormat="1" x14ac:dyDescent="0.25">
      <c r="B3" s="145" t="s">
        <v>103</v>
      </c>
      <c r="C3" s="5" t="s">
        <v>32</v>
      </c>
      <c r="D3" s="146" t="s">
        <v>10</v>
      </c>
      <c r="E3" s="146" t="s">
        <v>8</v>
      </c>
      <c r="F3" s="146" t="s">
        <v>16</v>
      </c>
      <c r="G3" s="5" t="s">
        <v>28</v>
      </c>
      <c r="H3" s="146" t="s">
        <v>104</v>
      </c>
      <c r="I3" s="146" t="s">
        <v>58</v>
      </c>
      <c r="J3" s="147" t="s">
        <v>105</v>
      </c>
      <c r="K3" s="298"/>
      <c r="L3"/>
      <c r="M3" s="524"/>
      <c r="N3" s="525"/>
      <c r="O3" s="525"/>
      <c r="P3" s="525"/>
      <c r="Q3" s="525"/>
      <c r="R3" s="526"/>
    </row>
    <row r="4" spans="2:18" ht="15.75" thickBot="1" x14ac:dyDescent="0.3">
      <c r="B4" s="8" t="str">
        <f>+Info!B7</f>
        <v>PFEIFFER BENELUX</v>
      </c>
      <c r="C4" s="9" t="str">
        <f>+Info!B15</f>
        <v>Plomer</v>
      </c>
      <c r="D4" s="10" t="str">
        <f>+Info!B6</f>
        <v>P47551</v>
      </c>
      <c r="E4" s="11" t="str">
        <f>+Info!B5</f>
        <v>B</v>
      </c>
      <c r="F4" s="11">
        <f>+Info!B9+Info!B11+Info!C11+Info!D11+Info!E11</f>
        <v>27274.5</v>
      </c>
      <c r="G4" s="12">
        <f>+Info!B13</f>
        <v>45915</v>
      </c>
      <c r="H4" s="12"/>
      <c r="I4" s="29">
        <f>(F4-(J24*1.05))/F4</f>
        <v>0.46429654072485282</v>
      </c>
      <c r="J4" s="13"/>
      <c r="K4" s="299"/>
      <c r="M4" s="524"/>
      <c r="N4" s="525"/>
      <c r="O4" s="525"/>
      <c r="P4" s="525"/>
      <c r="Q4" s="525"/>
      <c r="R4" s="526"/>
    </row>
    <row r="5" spans="2:18" ht="15.75" thickBot="1" x14ac:dyDescent="0.3">
      <c r="E5"/>
      <c r="K5" s="300"/>
      <c r="M5" s="524"/>
      <c r="N5" s="525"/>
      <c r="O5" s="525"/>
      <c r="P5" s="525"/>
      <c r="Q5" s="525"/>
      <c r="R5" s="526"/>
    </row>
    <row r="6" spans="2:18" ht="15.75" thickBot="1" x14ac:dyDescent="0.3">
      <c r="B6" s="70"/>
      <c r="C6" s="457"/>
      <c r="D6" s="458"/>
      <c r="E6" s="458"/>
      <c r="F6" s="458"/>
      <c r="G6" s="458"/>
      <c r="H6" s="458"/>
      <c r="I6" s="458"/>
      <c r="J6" s="459"/>
      <c r="K6" s="301"/>
      <c r="M6" s="524"/>
      <c r="N6" s="525"/>
      <c r="O6" s="525"/>
      <c r="P6" s="525"/>
      <c r="Q6" s="525"/>
      <c r="R6" s="526"/>
    </row>
    <row r="7" spans="2:18" ht="15.75" thickBot="1" x14ac:dyDescent="0.3">
      <c r="B7" s="43" t="s">
        <v>38</v>
      </c>
      <c r="C7" s="457" t="str">
        <f>+Info!B19</f>
        <v>TR-8880-19709</v>
      </c>
      <c r="D7" s="458"/>
      <c r="E7" s="458"/>
      <c r="F7" s="458"/>
      <c r="G7" s="458"/>
      <c r="H7" s="458"/>
      <c r="I7" s="458"/>
      <c r="J7" s="459"/>
      <c r="K7" s="301"/>
      <c r="L7" s="1"/>
      <c r="M7" s="524"/>
      <c r="N7" s="525"/>
      <c r="O7" s="525"/>
      <c r="P7" s="525"/>
      <c r="Q7" s="525"/>
      <c r="R7" s="526"/>
    </row>
    <row r="8" spans="2:18" s="1" customFormat="1" ht="15.75" thickBot="1" x14ac:dyDescent="0.3">
      <c r="B8" s="7" t="s">
        <v>40</v>
      </c>
      <c r="C8" s="457" t="str">
        <f>+Info!B20</f>
        <v>kundenspezfische Hochvakuumkammer DN600 Horizontal Länge: 900 mm</v>
      </c>
      <c r="D8" s="458"/>
      <c r="E8" s="458"/>
      <c r="F8" s="458"/>
      <c r="G8" s="458"/>
      <c r="H8" s="458"/>
      <c r="I8" s="458"/>
      <c r="J8" s="459"/>
      <c r="K8" s="301"/>
      <c r="L8"/>
      <c r="M8" s="524"/>
      <c r="N8" s="525"/>
      <c r="O8" s="525"/>
      <c r="P8" s="525"/>
      <c r="Q8" s="525"/>
      <c r="R8" s="526"/>
    </row>
    <row r="9" spans="2:18" ht="15" customHeight="1" thickBot="1" x14ac:dyDescent="0.3">
      <c r="B9" s="71" t="s">
        <v>107</v>
      </c>
      <c r="C9" s="460">
        <f>+Info!B21</f>
        <v>0</v>
      </c>
      <c r="D9" s="461"/>
      <c r="E9" s="461"/>
      <c r="F9" s="461"/>
      <c r="G9" s="461"/>
      <c r="H9" s="461"/>
      <c r="I9" s="461"/>
      <c r="J9" s="462"/>
      <c r="K9" s="301"/>
      <c r="M9" s="524"/>
      <c r="N9" s="525"/>
      <c r="O9" s="525"/>
      <c r="P9" s="525"/>
      <c r="Q9" s="525"/>
      <c r="R9" s="526"/>
    </row>
    <row r="10" spans="2:18" ht="15.75" thickBot="1" x14ac:dyDescent="0.3">
      <c r="E10"/>
      <c r="K10" s="300"/>
      <c r="M10" s="524"/>
      <c r="N10" s="525"/>
      <c r="O10" s="525"/>
      <c r="P10" s="525"/>
      <c r="Q10" s="525"/>
      <c r="R10" s="526"/>
    </row>
    <row r="11" spans="2:18" ht="15.75" thickBot="1" x14ac:dyDescent="0.3">
      <c r="B11" s="495" t="s">
        <v>108</v>
      </c>
      <c r="C11" s="532"/>
      <c r="D11" s="532"/>
      <c r="E11" s="532"/>
      <c r="F11" s="532"/>
      <c r="G11" s="532"/>
      <c r="H11" s="532"/>
      <c r="I11" s="532"/>
      <c r="J11" s="497"/>
      <c r="K11" s="302"/>
      <c r="L11" s="2"/>
      <c r="M11" s="524"/>
      <c r="N11" s="525"/>
      <c r="O11" s="525"/>
      <c r="P11" s="525"/>
      <c r="Q11" s="525"/>
      <c r="R11" s="526"/>
    </row>
    <row r="12" spans="2:18" x14ac:dyDescent="0.25">
      <c r="B12" s="533"/>
      <c r="C12" s="503" t="s">
        <v>110</v>
      </c>
      <c r="D12" s="501"/>
      <c r="E12" s="501" t="s">
        <v>111</v>
      </c>
      <c r="F12" s="501"/>
      <c r="G12" s="501" t="s">
        <v>56</v>
      </c>
      <c r="H12" s="501"/>
      <c r="I12" s="244" t="s">
        <v>57</v>
      </c>
      <c r="J12" s="530" t="s">
        <v>78</v>
      </c>
      <c r="K12" s="303"/>
      <c r="M12" s="524"/>
      <c r="N12" s="525"/>
      <c r="O12" s="525"/>
      <c r="P12" s="525"/>
      <c r="Q12" s="525"/>
      <c r="R12" s="526"/>
    </row>
    <row r="13" spans="2:18" ht="15.75" thickBot="1" x14ac:dyDescent="0.3">
      <c r="B13" s="534"/>
      <c r="C13" s="83" t="s">
        <v>112</v>
      </c>
      <c r="D13" s="20" t="s">
        <v>113</v>
      </c>
      <c r="E13" s="21" t="s">
        <v>112</v>
      </c>
      <c r="F13" s="20" t="s">
        <v>113</v>
      </c>
      <c r="G13" s="20" t="s">
        <v>112</v>
      </c>
      <c r="H13" s="20" t="s">
        <v>113</v>
      </c>
      <c r="I13" s="241" t="s">
        <v>113</v>
      </c>
      <c r="J13" s="531"/>
      <c r="K13" s="303"/>
      <c r="M13" s="524"/>
      <c r="N13" s="525"/>
      <c r="O13" s="525"/>
      <c r="P13" s="525"/>
      <c r="Q13" s="525"/>
      <c r="R13" s="526"/>
    </row>
    <row r="14" spans="2:18" x14ac:dyDescent="0.25">
      <c r="B14" s="239" t="s">
        <v>190</v>
      </c>
      <c r="C14" s="84">
        <v>5</v>
      </c>
      <c r="D14" s="350">
        <v>250</v>
      </c>
      <c r="E14" s="36">
        <v>20</v>
      </c>
      <c r="F14" s="351">
        <v>1000</v>
      </c>
      <c r="G14" s="36"/>
      <c r="H14" s="38">
        <v>2096.5</v>
      </c>
      <c r="I14" s="243">
        <v>10568.78</v>
      </c>
      <c r="J14" s="352">
        <v>13915.28</v>
      </c>
      <c r="K14" s="304"/>
      <c r="M14" s="524"/>
      <c r="N14" s="525"/>
      <c r="O14" s="525"/>
      <c r="P14" s="525"/>
      <c r="Q14" s="525"/>
      <c r="R14" s="526"/>
    </row>
    <row r="15" spans="2:18" ht="15.75" thickBot="1" x14ac:dyDescent="0.3">
      <c r="B15" s="240"/>
      <c r="C15" s="86"/>
      <c r="D15" s="350">
        <f t="shared" ref="D15:D23" si="0">C15*53</f>
        <v>0</v>
      </c>
      <c r="E15" s="34"/>
      <c r="F15" s="351">
        <f t="shared" ref="F15:F23" si="1">E15*53</f>
        <v>0</v>
      </c>
      <c r="G15" s="34"/>
      <c r="H15" s="35"/>
      <c r="I15" s="243"/>
      <c r="J15" s="353">
        <f t="shared" ref="J15:J23" si="2">+D15+F15+H15+I15</f>
        <v>0</v>
      </c>
      <c r="K15" s="304"/>
      <c r="M15" s="527"/>
      <c r="N15" s="528"/>
      <c r="O15" s="528"/>
      <c r="P15" s="528"/>
      <c r="Q15" s="528"/>
      <c r="R15" s="529"/>
    </row>
    <row r="16" spans="2:18" ht="15.75" thickBot="1" x14ac:dyDescent="0.3">
      <c r="B16" s="240"/>
      <c r="C16" s="86"/>
      <c r="D16" s="350">
        <f t="shared" si="0"/>
        <v>0</v>
      </c>
      <c r="E16" s="34"/>
      <c r="F16" s="351">
        <f t="shared" si="1"/>
        <v>0</v>
      </c>
      <c r="G16" s="34"/>
      <c r="H16" s="35"/>
      <c r="I16" s="243"/>
      <c r="J16" s="353">
        <f t="shared" si="2"/>
        <v>0</v>
      </c>
      <c r="K16" s="26"/>
      <c r="L16" s="1"/>
    </row>
    <row r="17" spans="2:18" x14ac:dyDescent="0.25">
      <c r="B17" s="240"/>
      <c r="C17" s="86"/>
      <c r="D17" s="350">
        <f t="shared" si="0"/>
        <v>0</v>
      </c>
      <c r="E17" s="34"/>
      <c r="F17" s="351">
        <f t="shared" si="1"/>
        <v>0</v>
      </c>
      <c r="G17" s="34"/>
      <c r="H17" s="35"/>
      <c r="I17" s="243"/>
      <c r="J17" s="353">
        <f t="shared" si="2"/>
        <v>0</v>
      </c>
      <c r="K17" s="26"/>
      <c r="M17" s="463" t="s">
        <v>116</v>
      </c>
      <c r="N17" s="464"/>
      <c r="O17" s="464"/>
      <c r="P17" s="464"/>
      <c r="Q17" s="464"/>
      <c r="R17" s="465"/>
    </row>
    <row r="18" spans="2:18" x14ac:dyDescent="0.25">
      <c r="B18" s="240"/>
      <c r="C18" s="86"/>
      <c r="D18" s="350">
        <f t="shared" si="0"/>
        <v>0</v>
      </c>
      <c r="E18" s="34"/>
      <c r="F18" s="351">
        <f t="shared" si="1"/>
        <v>0</v>
      </c>
      <c r="G18" s="34"/>
      <c r="H18" s="35"/>
      <c r="I18" s="243"/>
      <c r="J18" s="353">
        <f t="shared" si="2"/>
        <v>0</v>
      </c>
      <c r="K18" s="26"/>
      <c r="M18" s="466"/>
      <c r="N18" s="467"/>
      <c r="O18" s="467"/>
      <c r="P18" s="467"/>
      <c r="Q18" s="467"/>
      <c r="R18" s="468"/>
    </row>
    <row r="19" spans="2:18" ht="14.25" customHeight="1" thickBot="1" x14ac:dyDescent="0.3">
      <c r="B19" s="240"/>
      <c r="C19" s="86"/>
      <c r="D19" s="350">
        <f t="shared" si="0"/>
        <v>0</v>
      </c>
      <c r="E19" s="34"/>
      <c r="F19" s="351">
        <f t="shared" si="1"/>
        <v>0</v>
      </c>
      <c r="G19" s="34"/>
      <c r="H19" s="35"/>
      <c r="I19" s="243"/>
      <c r="J19" s="353">
        <f t="shared" si="2"/>
        <v>0</v>
      </c>
      <c r="K19" s="26"/>
      <c r="M19" s="469"/>
      <c r="N19" s="470"/>
      <c r="O19" s="470"/>
      <c r="P19" s="470"/>
      <c r="Q19" s="470"/>
      <c r="R19" s="471"/>
    </row>
    <row r="20" spans="2:18" ht="14.25" customHeight="1" thickBot="1" x14ac:dyDescent="0.3">
      <c r="B20" s="240"/>
      <c r="C20" s="86"/>
      <c r="D20" s="350">
        <f t="shared" si="0"/>
        <v>0</v>
      </c>
      <c r="E20" s="34"/>
      <c r="F20" s="351">
        <f t="shared" si="1"/>
        <v>0</v>
      </c>
      <c r="G20" s="34"/>
      <c r="H20" s="35"/>
      <c r="I20" s="243"/>
      <c r="J20" s="353">
        <f t="shared" si="2"/>
        <v>0</v>
      </c>
      <c r="K20" s="26"/>
      <c r="L20" s="2"/>
    </row>
    <row r="21" spans="2:18" x14ac:dyDescent="0.25">
      <c r="B21" s="240"/>
      <c r="C21" s="86"/>
      <c r="D21" s="350">
        <f t="shared" si="0"/>
        <v>0</v>
      </c>
      <c r="E21" s="34"/>
      <c r="F21" s="351">
        <f t="shared" si="1"/>
        <v>0</v>
      </c>
      <c r="G21" s="34"/>
      <c r="H21" s="35"/>
      <c r="I21" s="243"/>
      <c r="J21" s="353">
        <f t="shared" si="2"/>
        <v>0</v>
      </c>
      <c r="K21" s="26"/>
      <c r="M21" s="463" t="s">
        <v>118</v>
      </c>
      <c r="N21" s="464"/>
      <c r="O21" s="464"/>
      <c r="P21" s="464"/>
      <c r="Q21" s="464"/>
      <c r="R21" s="465"/>
    </row>
    <row r="22" spans="2:18" x14ac:dyDescent="0.25">
      <c r="B22" s="240"/>
      <c r="C22" s="86"/>
      <c r="D22" s="350">
        <f t="shared" si="0"/>
        <v>0</v>
      </c>
      <c r="E22" s="34"/>
      <c r="F22" s="351">
        <f t="shared" si="1"/>
        <v>0</v>
      </c>
      <c r="G22" s="34"/>
      <c r="H22" s="35"/>
      <c r="I22" s="243"/>
      <c r="J22" s="353">
        <f t="shared" si="2"/>
        <v>0</v>
      </c>
      <c r="K22" s="26"/>
      <c r="M22" s="466"/>
      <c r="N22" s="467"/>
      <c r="O22" s="467"/>
      <c r="P22" s="467"/>
      <c r="Q22" s="467"/>
      <c r="R22" s="468"/>
    </row>
    <row r="23" spans="2:18" ht="15.75" thickBot="1" x14ac:dyDescent="0.3">
      <c r="B23" s="287"/>
      <c r="C23" s="288"/>
      <c r="D23" s="350">
        <f t="shared" si="0"/>
        <v>0</v>
      </c>
      <c r="E23" s="289"/>
      <c r="F23" s="351">
        <f t="shared" si="1"/>
        <v>0</v>
      </c>
      <c r="G23" s="289"/>
      <c r="H23" s="290"/>
      <c r="I23" s="291"/>
      <c r="J23" s="354">
        <f t="shared" si="2"/>
        <v>0</v>
      </c>
      <c r="K23" s="26"/>
      <c r="M23" s="466"/>
      <c r="N23" s="467"/>
      <c r="O23" s="467"/>
      <c r="P23" s="467"/>
      <c r="Q23" s="467"/>
      <c r="R23" s="468"/>
    </row>
    <row r="24" spans="2:18" ht="15.75" thickBot="1" x14ac:dyDescent="0.3">
      <c r="B24" s="292" t="s">
        <v>78</v>
      </c>
      <c r="C24" s="293">
        <f>SUM(C14:C23)</f>
        <v>5</v>
      </c>
      <c r="D24" s="294">
        <f>SUM(D14:D23)</f>
        <v>250</v>
      </c>
      <c r="E24" s="293">
        <f t="shared" ref="E24:J24" si="3">SUM(E14:E23)</f>
        <v>20</v>
      </c>
      <c r="F24" s="294">
        <f t="shared" si="3"/>
        <v>1000</v>
      </c>
      <c r="G24" s="293">
        <f t="shared" si="3"/>
        <v>0</v>
      </c>
      <c r="H24" s="294">
        <f t="shared" si="3"/>
        <v>2096.5</v>
      </c>
      <c r="I24" s="294">
        <f t="shared" si="3"/>
        <v>10568.78</v>
      </c>
      <c r="J24" s="295">
        <f t="shared" si="3"/>
        <v>13915.28</v>
      </c>
      <c r="K24" s="308"/>
      <c r="M24" s="466"/>
      <c r="N24" s="467"/>
      <c r="O24" s="467"/>
      <c r="P24" s="467"/>
      <c r="Q24" s="467"/>
      <c r="R24" s="468"/>
    </row>
    <row r="25" spans="2:18" ht="15.75" thickBot="1" x14ac:dyDescent="0.3">
      <c r="B25" s="237"/>
      <c r="C25" s="115"/>
      <c r="D25" s="116"/>
      <c r="E25" s="117"/>
      <c r="F25" s="118"/>
      <c r="G25" s="119"/>
      <c r="M25" s="466"/>
      <c r="N25" s="467"/>
      <c r="O25" s="467"/>
      <c r="P25" s="467"/>
      <c r="Q25" s="467"/>
      <c r="R25" s="468"/>
    </row>
    <row r="26" spans="2:18" x14ac:dyDescent="0.25">
      <c r="B26" s="121" t="s">
        <v>55</v>
      </c>
      <c r="C26" s="134" t="s">
        <v>114</v>
      </c>
      <c r="D26" s="122" t="s">
        <v>79</v>
      </c>
      <c r="E26" s="134" t="s">
        <v>115</v>
      </c>
      <c r="F26" s="537" t="s">
        <v>181</v>
      </c>
      <c r="G26" s="538"/>
      <c r="M26" s="466"/>
      <c r="N26" s="467"/>
      <c r="O26" s="467"/>
      <c r="P26" s="467"/>
      <c r="Q26" s="467"/>
      <c r="R26" s="468"/>
    </row>
    <row r="27" spans="2:18" x14ac:dyDescent="0.25">
      <c r="B27" s="263"/>
      <c r="C27" s="264"/>
      <c r="D27" s="265"/>
      <c r="E27" s="264"/>
      <c r="F27" s="265"/>
      <c r="G27" s="264"/>
      <c r="I27" s="251"/>
      <c r="M27" s="466"/>
      <c r="N27" s="467"/>
      <c r="O27" s="467"/>
      <c r="P27" s="467"/>
      <c r="Q27" s="467"/>
      <c r="R27" s="468"/>
    </row>
    <row r="28" spans="2:18" ht="14.45" customHeight="1" thickBot="1" x14ac:dyDescent="0.3">
      <c r="B28" s="42" t="s">
        <v>112</v>
      </c>
      <c r="C28" s="133" t="s">
        <v>113</v>
      </c>
      <c r="D28" s="100" t="s">
        <v>112</v>
      </c>
      <c r="E28" s="133" t="s">
        <v>113</v>
      </c>
      <c r="F28" s="100" t="s">
        <v>112</v>
      </c>
      <c r="G28" s="133" t="s">
        <v>113</v>
      </c>
      <c r="I28" s="251"/>
      <c r="M28" s="466"/>
      <c r="N28" s="467"/>
      <c r="O28" s="467"/>
      <c r="P28" s="467"/>
      <c r="Q28" s="467"/>
      <c r="R28" s="468"/>
    </row>
    <row r="29" spans="2:18" ht="15.75" thickBot="1" x14ac:dyDescent="0.3">
      <c r="B29" s="296">
        <v>0</v>
      </c>
      <c r="C29" s="95">
        <f>B29*53</f>
        <v>0</v>
      </c>
      <c r="D29" s="296">
        <v>32.75</v>
      </c>
      <c r="E29" s="108">
        <f>D29*53</f>
        <v>1735.75</v>
      </c>
      <c r="F29" s="296">
        <v>0</v>
      </c>
      <c r="G29" s="108">
        <f>F29*53</f>
        <v>0</v>
      </c>
      <c r="M29" s="466"/>
      <c r="N29" s="467"/>
      <c r="O29" s="467"/>
      <c r="P29" s="467"/>
      <c r="Q29" s="467"/>
      <c r="R29" s="468"/>
    </row>
    <row r="30" spans="2:18" ht="15.75" thickBot="1" x14ac:dyDescent="0.3">
      <c r="B30" s="238"/>
      <c r="C30" s="102"/>
      <c r="D30" s="103"/>
      <c r="E30" s="102"/>
      <c r="F30" s="103"/>
      <c r="G30" s="102"/>
      <c r="M30" s="466"/>
      <c r="N30" s="467"/>
      <c r="O30" s="467"/>
      <c r="P30" s="467"/>
      <c r="Q30" s="467"/>
      <c r="R30" s="468"/>
    </row>
    <row r="31" spans="2:18" x14ac:dyDescent="0.25">
      <c r="B31" s="218" t="s">
        <v>117</v>
      </c>
      <c r="C31" s="219"/>
      <c r="D31" s="478"/>
      <c r="E31" s="479"/>
      <c r="F31" s="109"/>
      <c r="G31" s="110"/>
      <c r="M31" s="466"/>
      <c r="N31" s="467"/>
      <c r="O31" s="467"/>
      <c r="P31" s="467"/>
      <c r="Q31" s="467"/>
      <c r="R31" s="468"/>
    </row>
    <row r="32" spans="2:18" ht="15.75" thickBot="1" x14ac:dyDescent="0.3">
      <c r="B32" s="221" t="s">
        <v>119</v>
      </c>
      <c r="C32" s="99" t="s">
        <v>120</v>
      </c>
      <c r="D32" s="517" t="s">
        <v>43</v>
      </c>
      <c r="E32" s="518"/>
      <c r="F32" s="222" t="s">
        <v>121</v>
      </c>
      <c r="G32" s="227" t="s">
        <v>122</v>
      </c>
      <c r="H32" s="251"/>
      <c r="M32" s="466"/>
      <c r="N32" s="467"/>
      <c r="O32" s="467"/>
      <c r="P32" s="467"/>
      <c r="Q32" s="467"/>
      <c r="R32" s="468"/>
    </row>
    <row r="33" spans="2:18" x14ac:dyDescent="0.25">
      <c r="B33" s="253"/>
      <c r="C33" s="254"/>
      <c r="D33" s="535"/>
      <c r="E33" s="536"/>
      <c r="F33" s="334"/>
      <c r="G33" s="255"/>
      <c r="H33" s="251"/>
      <c r="M33" s="466"/>
      <c r="N33" s="467"/>
      <c r="O33" s="467"/>
      <c r="P33" s="467"/>
      <c r="Q33" s="467"/>
      <c r="R33" s="468"/>
    </row>
    <row r="34" spans="2:18" x14ac:dyDescent="0.25">
      <c r="B34" s="223"/>
      <c r="C34" s="39"/>
      <c r="D34" s="480"/>
      <c r="E34" s="481"/>
      <c r="F34" s="226"/>
      <c r="G34" s="256"/>
      <c r="H34" s="251"/>
      <c r="M34" s="466"/>
      <c r="N34" s="467"/>
      <c r="O34" s="467"/>
      <c r="P34" s="467"/>
      <c r="Q34" s="467"/>
      <c r="R34" s="468"/>
    </row>
    <row r="35" spans="2:18" x14ac:dyDescent="0.25">
      <c r="B35" s="223"/>
      <c r="C35" s="39"/>
      <c r="D35" s="480"/>
      <c r="E35" s="481"/>
      <c r="F35" s="226"/>
      <c r="G35" s="256"/>
      <c r="H35" s="251"/>
      <c r="M35" s="466"/>
      <c r="N35" s="467"/>
      <c r="O35" s="467"/>
      <c r="P35" s="467"/>
      <c r="Q35" s="467"/>
      <c r="R35" s="468"/>
    </row>
    <row r="36" spans="2:18" x14ac:dyDescent="0.25">
      <c r="B36" s="223"/>
      <c r="C36" s="257"/>
      <c r="D36" s="480"/>
      <c r="E36" s="481"/>
      <c r="F36" s="226"/>
      <c r="G36" s="256"/>
      <c r="H36" s="251"/>
      <c r="M36" s="466"/>
      <c r="N36" s="467"/>
      <c r="O36" s="467"/>
      <c r="P36" s="467"/>
      <c r="Q36" s="467"/>
      <c r="R36" s="468"/>
    </row>
    <row r="37" spans="2:18" x14ac:dyDescent="0.25">
      <c r="B37" s="223"/>
      <c r="C37" s="39"/>
      <c r="D37" s="480"/>
      <c r="E37" s="481"/>
      <c r="F37" s="226"/>
      <c r="G37" s="256"/>
      <c r="H37" s="251"/>
      <c r="M37" s="466"/>
      <c r="N37" s="467"/>
      <c r="O37" s="467"/>
      <c r="P37" s="467"/>
      <c r="Q37" s="467"/>
      <c r="R37" s="468"/>
    </row>
    <row r="38" spans="2:18" ht="15.75" thickBot="1" x14ac:dyDescent="0.3">
      <c r="B38" s="223"/>
      <c r="C38" s="39"/>
      <c r="D38" s="480"/>
      <c r="E38" s="481"/>
      <c r="F38" s="226"/>
      <c r="G38" s="256"/>
      <c r="H38" s="251"/>
      <c r="M38" s="469"/>
      <c r="N38" s="470"/>
      <c r="O38" s="470"/>
      <c r="P38" s="470"/>
      <c r="Q38" s="470"/>
      <c r="R38" s="471"/>
    </row>
    <row r="39" spans="2:18" x14ac:dyDescent="0.25">
      <c r="B39" s="223"/>
      <c r="C39" s="39"/>
      <c r="D39" s="480"/>
      <c r="E39" s="481"/>
      <c r="F39" s="226"/>
      <c r="G39" s="256"/>
      <c r="H39" s="251"/>
    </row>
    <row r="40" spans="2:18" x14ac:dyDescent="0.25">
      <c r="B40" s="223"/>
      <c r="C40" s="257"/>
      <c r="D40" s="480"/>
      <c r="E40" s="481"/>
      <c r="F40" s="226"/>
      <c r="G40" s="256"/>
      <c r="H40" s="251"/>
    </row>
    <row r="41" spans="2:18" x14ac:dyDescent="0.25">
      <c r="B41" s="223"/>
      <c r="C41" s="39"/>
      <c r="D41" s="480"/>
      <c r="E41" s="481"/>
      <c r="F41" s="226"/>
      <c r="G41" s="256"/>
      <c r="H41" s="251"/>
    </row>
    <row r="42" spans="2:18" x14ac:dyDescent="0.25">
      <c r="B42" s="223"/>
      <c r="C42" s="39"/>
      <c r="D42" s="480"/>
      <c r="E42" s="481"/>
      <c r="F42" s="226"/>
      <c r="G42" s="158"/>
      <c r="I42" s="251"/>
    </row>
    <row r="43" spans="2:18" x14ac:dyDescent="0.25">
      <c r="B43" s="223"/>
      <c r="C43" s="39"/>
      <c r="D43" s="480"/>
      <c r="E43" s="481"/>
      <c r="F43" s="226"/>
      <c r="G43" s="158"/>
      <c r="I43" s="251"/>
    </row>
    <row r="44" spans="2:18" x14ac:dyDescent="0.25">
      <c r="B44" s="223"/>
      <c r="C44" s="39"/>
      <c r="D44" s="480"/>
      <c r="E44" s="481"/>
      <c r="F44" s="226"/>
      <c r="G44" s="158"/>
      <c r="I44" s="251"/>
    </row>
    <row r="45" spans="2:18" x14ac:dyDescent="0.25">
      <c r="B45" s="223"/>
      <c r="C45" s="39"/>
      <c r="D45" s="480"/>
      <c r="E45" s="481"/>
      <c r="F45" s="226"/>
      <c r="G45" s="158"/>
    </row>
    <row r="46" spans="2:18" x14ac:dyDescent="0.25">
      <c r="B46" s="223"/>
      <c r="C46" s="39"/>
      <c r="D46" s="480"/>
      <c r="E46" s="481"/>
      <c r="F46" s="226"/>
      <c r="G46" s="158"/>
    </row>
    <row r="47" spans="2:18" ht="15.75" thickBot="1" x14ac:dyDescent="0.3">
      <c r="B47" s="355"/>
      <c r="C47" s="231"/>
      <c r="D47" s="506"/>
      <c r="E47" s="507"/>
      <c r="F47" s="232"/>
      <c r="G47" s="233"/>
    </row>
    <row r="48" spans="2:18" ht="15.75" thickBot="1" x14ac:dyDescent="0.3">
      <c r="B48" s="120" t="s">
        <v>78</v>
      </c>
      <c r="C48" s="97"/>
      <c r="D48" s="97"/>
      <c r="E48" s="98"/>
      <c r="F48" s="132">
        <f>SUM(F33:F47)</f>
        <v>0</v>
      </c>
      <c r="G48" s="224" t="s">
        <v>123</v>
      </c>
      <c r="L48" s="2"/>
    </row>
    <row r="49" spans="2:26" ht="15.75" thickBot="1" x14ac:dyDescent="0.3">
      <c r="B49" s="491"/>
      <c r="C49" s="491"/>
      <c r="D49" s="491"/>
      <c r="E49" s="491"/>
      <c r="F49" s="491"/>
      <c r="G49" s="491"/>
      <c r="H49" s="492"/>
      <c r="I49" s="492"/>
      <c r="J49" s="492"/>
      <c r="K49" s="1"/>
      <c r="L49" s="1"/>
      <c r="Q49" s="431"/>
      <c r="R49" s="431"/>
      <c r="S49" s="431"/>
      <c r="T49" s="431"/>
      <c r="U49" s="431"/>
      <c r="V49" s="431"/>
      <c r="W49" s="431"/>
      <c r="X49" s="431"/>
      <c r="Y49" s="431"/>
    </row>
    <row r="50" spans="2:26" ht="15.75" thickBot="1" x14ac:dyDescent="0.3">
      <c r="B50" s="266" t="s">
        <v>124</v>
      </c>
      <c r="C50" s="476" t="s">
        <v>125</v>
      </c>
      <c r="D50" s="477"/>
      <c r="E50" s="477"/>
      <c r="F50" s="477"/>
      <c r="G50" s="190" t="s">
        <v>182</v>
      </c>
      <c r="H50" s="487" t="s">
        <v>127</v>
      </c>
      <c r="I50" s="488"/>
      <c r="J50" s="489"/>
      <c r="K50" s="187"/>
      <c r="L50" s="187"/>
      <c r="M50" s="543" t="s">
        <v>128</v>
      </c>
      <c r="N50" s="544"/>
      <c r="O50" s="545"/>
      <c r="Q50" s="463" t="s">
        <v>129</v>
      </c>
      <c r="R50" s="464"/>
      <c r="S50" s="464"/>
      <c r="T50" s="465"/>
      <c r="U50" s="431"/>
      <c r="V50" s="431"/>
      <c r="W50" s="431"/>
      <c r="X50" s="431"/>
      <c r="Y50" s="431"/>
      <c r="Z50" s="431"/>
    </row>
    <row r="51" spans="2:26" ht="14.45" customHeight="1" thickBot="1" x14ac:dyDescent="0.3">
      <c r="B51" s="113" t="s">
        <v>130</v>
      </c>
      <c r="C51" s="182" t="s">
        <v>131</v>
      </c>
      <c r="D51" s="267" t="s">
        <v>57</v>
      </c>
      <c r="E51" s="112" t="s">
        <v>132</v>
      </c>
      <c r="F51" s="112" t="s">
        <v>133</v>
      </c>
      <c r="G51" s="187" t="s">
        <v>131</v>
      </c>
      <c r="H51" s="207" t="s">
        <v>131</v>
      </c>
      <c r="I51" s="208" t="s">
        <v>57</v>
      </c>
      <c r="J51" s="209" t="s">
        <v>132</v>
      </c>
      <c r="K51" s="187" t="s">
        <v>2</v>
      </c>
      <c r="L51" s="187" t="s">
        <v>183</v>
      </c>
      <c r="M51" s="284" t="s">
        <v>135</v>
      </c>
      <c r="N51" s="285" t="s">
        <v>136</v>
      </c>
      <c r="O51" s="286" t="s">
        <v>137</v>
      </c>
      <c r="Q51" s="466"/>
      <c r="R51" s="467"/>
      <c r="S51" s="467"/>
      <c r="T51" s="468"/>
    </row>
    <row r="52" spans="2:26" ht="15.75" hidden="1" outlineLevel="1" thickBot="1" x14ac:dyDescent="0.3">
      <c r="B52" s="383" t="s">
        <v>195</v>
      </c>
      <c r="C52" s="346"/>
      <c r="D52" s="347"/>
      <c r="E52" s="184">
        <f>C52+D52</f>
        <v>0</v>
      </c>
      <c r="F52" s="348">
        <v>234.52379999999999</v>
      </c>
      <c r="G52" s="349">
        <v>234.52379999999999</v>
      </c>
      <c r="H52" s="206"/>
      <c r="I52" s="206"/>
      <c r="J52" s="297">
        <f>H52+I52</f>
        <v>0</v>
      </c>
      <c r="K52" s="382" t="s">
        <v>196</v>
      </c>
      <c r="L52" s="191" t="s">
        <v>213</v>
      </c>
      <c r="M52" s="194">
        <f>IF(AND(G52&gt;0,OR(C52&gt;0,F52&gt;0,H52&gt;0)),(G52-F52)/G52,"")</f>
        <v>0</v>
      </c>
      <c r="N52" s="193">
        <f>IF(G52&gt;0,(IF(C52&gt;0,C52,H52))/G52,"")</f>
        <v>0</v>
      </c>
      <c r="O52" s="195" t="str">
        <f>IF(M52=100%,G52-(IF(C52&gt;0,C52,H52)),"")</f>
        <v/>
      </c>
      <c r="P52" s="252">
        <v>40866</v>
      </c>
      <c r="Q52" s="466"/>
      <c r="R52" s="467"/>
      <c r="S52" s="467"/>
      <c r="T52" s="468"/>
      <c r="U52" s="261"/>
      <c r="V52" s="261"/>
      <c r="W52" s="261"/>
      <c r="X52" s="262"/>
      <c r="Y52" s="261"/>
    </row>
    <row r="53" spans="2:26" ht="15.75" hidden="1" outlineLevel="1" thickBot="1" x14ac:dyDescent="0.3">
      <c r="B53" s="180" t="s">
        <v>197</v>
      </c>
      <c r="C53" s="357"/>
      <c r="D53" s="358"/>
      <c r="E53" s="185">
        <f t="shared" ref="E53:E116" si="4">C53+D53</f>
        <v>0</v>
      </c>
      <c r="F53" s="359">
        <v>78.75</v>
      </c>
      <c r="G53" s="349">
        <v>78.75</v>
      </c>
      <c r="H53" s="206"/>
      <c r="I53" s="206"/>
      <c r="J53" s="297">
        <f t="shared" ref="J53:J116" si="5">H53+I53</f>
        <v>0</v>
      </c>
      <c r="K53" s="382" t="s">
        <v>196</v>
      </c>
      <c r="L53" s="191" t="s">
        <v>214</v>
      </c>
      <c r="M53" s="194">
        <f t="shared" ref="M53:M116" si="6">IF(AND(G53&gt;0,OR(C53&gt;0,F53&gt;0,H53&gt;0)),(G53-F53)/G53,"")</f>
        <v>0</v>
      </c>
      <c r="N53" s="193">
        <f t="shared" ref="N53:N116" si="7">IF(G53&gt;0,(IF(C53&gt;0,C53,H53))/G53,"")</f>
        <v>0</v>
      </c>
      <c r="O53" s="195" t="str">
        <f t="shared" ref="O53:O116" si="8">IF(M53=100%,G53-(IF(C53&gt;0,C53,H53)),"")</f>
        <v/>
      </c>
      <c r="P53" s="252">
        <v>40867</v>
      </c>
      <c r="Q53" s="466"/>
      <c r="R53" s="467"/>
      <c r="S53" s="467"/>
      <c r="T53" s="468"/>
      <c r="U53" s="261"/>
      <c r="V53" s="261"/>
      <c r="W53" s="261"/>
      <c r="X53" s="262"/>
      <c r="Y53" s="261"/>
    </row>
    <row r="54" spans="2:26" ht="15.75" hidden="1" outlineLevel="1" thickBot="1" x14ac:dyDescent="0.3">
      <c r="B54" s="384" t="s">
        <v>198</v>
      </c>
      <c r="C54" s="357"/>
      <c r="D54" s="358">
        <v>424.8836</v>
      </c>
      <c r="E54" s="185">
        <f t="shared" si="4"/>
        <v>424.8836</v>
      </c>
      <c r="F54" s="359">
        <v>399.4153</v>
      </c>
      <c r="G54" s="349">
        <v>399.4153</v>
      </c>
      <c r="H54" s="206"/>
      <c r="I54" s="206"/>
      <c r="J54" s="297">
        <f t="shared" si="5"/>
        <v>0</v>
      </c>
      <c r="K54" s="309" t="s">
        <v>199</v>
      </c>
      <c r="L54" s="191" t="s">
        <v>215</v>
      </c>
      <c r="M54" s="194">
        <f t="shared" si="6"/>
        <v>0</v>
      </c>
      <c r="N54" s="193">
        <f t="shared" si="7"/>
        <v>0</v>
      </c>
      <c r="O54" s="195" t="str">
        <f t="shared" si="8"/>
        <v/>
      </c>
      <c r="P54" s="252">
        <v>40868</v>
      </c>
      <c r="Q54" s="466"/>
      <c r="R54" s="467"/>
      <c r="S54" s="467"/>
      <c r="T54" s="468"/>
      <c r="U54" s="261"/>
      <c r="V54" s="261"/>
      <c r="W54" s="261"/>
      <c r="X54" s="262"/>
      <c r="Y54" s="261"/>
    </row>
    <row r="55" spans="2:26" ht="15.75" hidden="1" outlineLevel="1" thickBot="1" x14ac:dyDescent="0.3">
      <c r="B55" s="180" t="s">
        <v>200</v>
      </c>
      <c r="C55" s="357"/>
      <c r="D55" s="358"/>
      <c r="E55" s="185">
        <f t="shared" si="4"/>
        <v>0</v>
      </c>
      <c r="F55" s="359">
        <v>270</v>
      </c>
      <c r="G55" s="349">
        <v>270</v>
      </c>
      <c r="H55" s="206"/>
      <c r="I55" s="206"/>
      <c r="J55" s="297">
        <f t="shared" si="5"/>
        <v>0</v>
      </c>
      <c r="K55" s="382" t="s">
        <v>196</v>
      </c>
      <c r="L55" s="191" t="s">
        <v>216</v>
      </c>
      <c r="M55" s="194">
        <f t="shared" si="6"/>
        <v>0</v>
      </c>
      <c r="N55" s="193">
        <f t="shared" si="7"/>
        <v>0</v>
      </c>
      <c r="O55" s="195" t="str">
        <f t="shared" si="8"/>
        <v/>
      </c>
      <c r="P55" s="252">
        <v>40869</v>
      </c>
      <c r="Q55" s="466"/>
      <c r="R55" s="467"/>
      <c r="S55" s="467"/>
      <c r="T55" s="468"/>
      <c r="U55" s="261"/>
      <c r="V55" s="261"/>
      <c r="W55" s="261"/>
      <c r="X55" s="262"/>
      <c r="Y55" s="261"/>
    </row>
    <row r="56" spans="2:26" ht="15.75" hidden="1" outlineLevel="1" thickBot="1" x14ac:dyDescent="0.3">
      <c r="B56" s="384" t="s">
        <v>201</v>
      </c>
      <c r="C56" s="357">
        <v>203.8734</v>
      </c>
      <c r="D56" s="358">
        <v>2233.5034999999998</v>
      </c>
      <c r="E56" s="185">
        <f t="shared" si="4"/>
        <v>2437.3768999999998</v>
      </c>
      <c r="F56" s="359">
        <v>3662.9137000000001</v>
      </c>
      <c r="G56" s="349">
        <v>3992.9137000000001</v>
      </c>
      <c r="H56" s="206"/>
      <c r="I56" s="206"/>
      <c r="J56" s="297">
        <f t="shared" si="5"/>
        <v>0</v>
      </c>
      <c r="K56" s="309" t="s">
        <v>199</v>
      </c>
      <c r="L56" s="191" t="s">
        <v>217</v>
      </c>
      <c r="M56" s="194">
        <f t="shared" si="6"/>
        <v>8.264641432145152E-2</v>
      </c>
      <c r="N56" s="193">
        <f t="shared" si="7"/>
        <v>5.1058804501584898E-2</v>
      </c>
      <c r="O56" s="195" t="str">
        <f t="shared" si="8"/>
        <v/>
      </c>
      <c r="P56" s="252">
        <v>40870</v>
      </c>
      <c r="Q56" s="466"/>
      <c r="R56" s="467"/>
      <c r="S56" s="467"/>
      <c r="T56" s="468"/>
      <c r="U56" s="261"/>
      <c r="V56" s="261"/>
      <c r="W56" s="261"/>
      <c r="X56" s="262"/>
      <c r="Y56" s="261"/>
    </row>
    <row r="57" spans="2:26" ht="15.75" hidden="1" outlineLevel="1" thickBot="1" x14ac:dyDescent="0.3">
      <c r="B57" s="384" t="s">
        <v>202</v>
      </c>
      <c r="C57" s="357"/>
      <c r="D57" s="358">
        <v>11.16</v>
      </c>
      <c r="E57" s="185">
        <f t="shared" si="4"/>
        <v>11.16</v>
      </c>
      <c r="F57" s="359">
        <v>18.413799999999998</v>
      </c>
      <c r="G57" s="349">
        <v>18.413799999999998</v>
      </c>
      <c r="H57" s="206"/>
      <c r="I57" s="206"/>
      <c r="J57" s="297">
        <f t="shared" si="5"/>
        <v>0</v>
      </c>
      <c r="K57" s="309" t="s">
        <v>199</v>
      </c>
      <c r="L57" s="191" t="s">
        <v>218</v>
      </c>
      <c r="M57" s="194">
        <f t="shared" si="6"/>
        <v>0</v>
      </c>
      <c r="N57" s="193">
        <f t="shared" si="7"/>
        <v>0</v>
      </c>
      <c r="O57" s="195" t="str">
        <f t="shared" si="8"/>
        <v/>
      </c>
      <c r="P57" s="252">
        <v>40871</v>
      </c>
      <c r="Q57" s="466"/>
      <c r="R57" s="467"/>
      <c r="S57" s="467"/>
      <c r="T57" s="468"/>
      <c r="U57" s="261"/>
      <c r="V57" s="261"/>
      <c r="W57" s="261"/>
      <c r="X57" s="262"/>
      <c r="Y57" s="261"/>
    </row>
    <row r="58" spans="2:26" ht="15.75" hidden="1" outlineLevel="1" thickBot="1" x14ac:dyDescent="0.3">
      <c r="B58" s="384" t="s">
        <v>203</v>
      </c>
      <c r="C58" s="357">
        <v>192.40100000000001</v>
      </c>
      <c r="D58" s="358">
        <v>51.134399999999999</v>
      </c>
      <c r="E58" s="185">
        <f t="shared" si="4"/>
        <v>243.53540000000001</v>
      </c>
      <c r="F58" s="359">
        <v>43</v>
      </c>
      <c r="G58" s="349">
        <v>412</v>
      </c>
      <c r="H58" s="206"/>
      <c r="I58" s="206"/>
      <c r="J58" s="297">
        <f t="shared" si="5"/>
        <v>0</v>
      </c>
      <c r="K58" s="309" t="s">
        <v>199</v>
      </c>
      <c r="L58" s="191" t="s">
        <v>219</v>
      </c>
      <c r="M58" s="194">
        <f t="shared" si="6"/>
        <v>0.89563106796116509</v>
      </c>
      <c r="N58" s="193">
        <f t="shared" si="7"/>
        <v>0.46699271844660195</v>
      </c>
      <c r="O58" s="195" t="str">
        <f t="shared" si="8"/>
        <v/>
      </c>
      <c r="P58" s="252">
        <v>40872</v>
      </c>
      <c r="Q58" s="466"/>
      <c r="R58" s="467"/>
      <c r="S58" s="467"/>
      <c r="T58" s="468"/>
      <c r="U58" s="261"/>
      <c r="V58" s="261"/>
      <c r="W58" s="261"/>
      <c r="X58" s="262"/>
      <c r="Y58" s="261"/>
    </row>
    <row r="59" spans="2:26" ht="15.75" hidden="1" outlineLevel="1" thickBot="1" x14ac:dyDescent="0.3">
      <c r="B59" s="180" t="s">
        <v>204</v>
      </c>
      <c r="C59" s="357"/>
      <c r="D59" s="358"/>
      <c r="E59" s="185">
        <f t="shared" si="4"/>
        <v>0</v>
      </c>
      <c r="F59" s="359">
        <v>78.75</v>
      </c>
      <c r="G59" s="349">
        <v>78.75</v>
      </c>
      <c r="H59" s="206"/>
      <c r="I59" s="206"/>
      <c r="J59" s="297">
        <f t="shared" si="5"/>
        <v>0</v>
      </c>
      <c r="K59" s="382" t="s">
        <v>196</v>
      </c>
      <c r="L59" s="191" t="s">
        <v>220</v>
      </c>
      <c r="M59" s="194">
        <f t="shared" si="6"/>
        <v>0</v>
      </c>
      <c r="N59" s="193">
        <f t="shared" si="7"/>
        <v>0</v>
      </c>
      <c r="O59" s="195" t="str">
        <f t="shared" si="8"/>
        <v/>
      </c>
      <c r="P59" s="252">
        <v>40882</v>
      </c>
      <c r="Q59" s="466"/>
      <c r="R59" s="467"/>
      <c r="S59" s="467"/>
      <c r="T59" s="468"/>
      <c r="U59" s="261"/>
      <c r="V59" s="261"/>
      <c r="W59" s="261"/>
      <c r="X59" s="262"/>
      <c r="Y59" s="261"/>
    </row>
    <row r="60" spans="2:26" ht="15.75" hidden="1" outlineLevel="1" thickBot="1" x14ac:dyDescent="0.3">
      <c r="B60" s="384" t="s">
        <v>205</v>
      </c>
      <c r="C60" s="357"/>
      <c r="D60" s="358">
        <v>251.89500000000001</v>
      </c>
      <c r="E60" s="185">
        <f t="shared" si="4"/>
        <v>251.89500000000001</v>
      </c>
      <c r="F60" s="359">
        <v>341.6653</v>
      </c>
      <c r="G60" s="349">
        <v>341.6653</v>
      </c>
      <c r="H60" s="206"/>
      <c r="I60" s="206"/>
      <c r="J60" s="297">
        <f t="shared" si="5"/>
        <v>0</v>
      </c>
      <c r="K60" s="309" t="s">
        <v>199</v>
      </c>
      <c r="L60" s="191" t="s">
        <v>221</v>
      </c>
      <c r="M60" s="194">
        <f t="shared" si="6"/>
        <v>0</v>
      </c>
      <c r="N60" s="193">
        <f t="shared" si="7"/>
        <v>0</v>
      </c>
      <c r="O60" s="195" t="str">
        <f t="shared" si="8"/>
        <v/>
      </c>
      <c r="P60" s="252">
        <v>41044</v>
      </c>
      <c r="Q60" s="466"/>
      <c r="R60" s="467"/>
      <c r="S60" s="467"/>
      <c r="T60" s="468"/>
      <c r="U60" s="261"/>
      <c r="V60" s="261"/>
      <c r="W60" s="261"/>
      <c r="X60" s="262"/>
      <c r="Y60" s="261"/>
    </row>
    <row r="61" spans="2:26" ht="15.75" hidden="1" outlineLevel="1" thickBot="1" x14ac:dyDescent="0.3">
      <c r="B61" s="180" t="s">
        <v>206</v>
      </c>
      <c r="C61" s="357"/>
      <c r="D61" s="358"/>
      <c r="E61" s="185">
        <f t="shared" si="4"/>
        <v>0</v>
      </c>
      <c r="F61" s="359">
        <v>0.498</v>
      </c>
      <c r="G61" s="349">
        <v>0.498</v>
      </c>
      <c r="H61" s="206"/>
      <c r="I61" s="206"/>
      <c r="J61" s="297">
        <f t="shared" si="5"/>
        <v>0</v>
      </c>
      <c r="K61" s="382" t="s">
        <v>196</v>
      </c>
      <c r="L61" s="191" t="s">
        <v>222</v>
      </c>
      <c r="M61" s="194">
        <f t="shared" si="6"/>
        <v>0</v>
      </c>
      <c r="N61" s="193">
        <f t="shared" si="7"/>
        <v>0</v>
      </c>
      <c r="O61" s="195" t="str">
        <f t="shared" si="8"/>
        <v/>
      </c>
      <c r="P61" s="252"/>
      <c r="Q61" s="466"/>
      <c r="R61" s="467"/>
      <c r="S61" s="467"/>
      <c r="T61" s="468"/>
      <c r="U61" s="261"/>
      <c r="V61" s="261"/>
      <c r="W61" s="261"/>
      <c r="X61" s="262"/>
      <c r="Y61" s="261"/>
    </row>
    <row r="62" spans="2:26" ht="15.75" hidden="1" outlineLevel="1" thickBot="1" x14ac:dyDescent="0.3">
      <c r="B62" s="180" t="s">
        <v>207</v>
      </c>
      <c r="C62" s="357"/>
      <c r="D62" s="358"/>
      <c r="E62" s="185">
        <f t="shared" si="4"/>
        <v>0</v>
      </c>
      <c r="F62" s="359">
        <v>259.6653</v>
      </c>
      <c r="G62" s="349">
        <v>259.6653</v>
      </c>
      <c r="H62" s="206"/>
      <c r="I62" s="206"/>
      <c r="J62" s="297">
        <f t="shared" si="5"/>
        <v>0</v>
      </c>
      <c r="K62" s="382" t="s">
        <v>196</v>
      </c>
      <c r="L62" s="191" t="s">
        <v>223</v>
      </c>
      <c r="M62" s="194">
        <f t="shared" si="6"/>
        <v>0</v>
      </c>
      <c r="N62" s="193">
        <f t="shared" si="7"/>
        <v>0</v>
      </c>
      <c r="O62" s="195" t="str">
        <f t="shared" si="8"/>
        <v/>
      </c>
      <c r="P62" s="252"/>
      <c r="Q62" s="466"/>
      <c r="R62" s="467"/>
      <c r="S62" s="467"/>
      <c r="T62" s="468"/>
      <c r="U62" s="261"/>
      <c r="V62" s="261"/>
      <c r="W62" s="261"/>
      <c r="X62" s="262"/>
      <c r="Y62" s="261"/>
    </row>
    <row r="63" spans="2:26" ht="15.75" hidden="1" outlineLevel="1" thickBot="1" x14ac:dyDescent="0.3">
      <c r="B63" s="180" t="s">
        <v>208</v>
      </c>
      <c r="C63" s="357"/>
      <c r="D63" s="358"/>
      <c r="E63" s="185">
        <f t="shared" si="4"/>
        <v>0</v>
      </c>
      <c r="F63" s="359">
        <v>1.998</v>
      </c>
      <c r="G63" s="349">
        <v>1.998</v>
      </c>
      <c r="H63" s="206"/>
      <c r="I63" s="206"/>
      <c r="J63" s="297">
        <f t="shared" si="5"/>
        <v>0</v>
      </c>
      <c r="K63" s="382" t="s">
        <v>196</v>
      </c>
      <c r="L63" s="191" t="s">
        <v>224</v>
      </c>
      <c r="M63" s="194">
        <f t="shared" si="6"/>
        <v>0</v>
      </c>
      <c r="N63" s="193">
        <f t="shared" si="7"/>
        <v>0</v>
      </c>
      <c r="O63" s="195" t="str">
        <f t="shared" si="8"/>
        <v/>
      </c>
      <c r="P63" s="252"/>
      <c r="Q63" s="466"/>
      <c r="R63" s="467"/>
      <c r="S63" s="467"/>
      <c r="T63" s="468"/>
      <c r="U63" s="261"/>
      <c r="V63" s="261"/>
      <c r="W63" s="261"/>
      <c r="X63" s="262"/>
      <c r="Y63" s="261"/>
    </row>
    <row r="64" spans="2:26" ht="15.75" hidden="1" outlineLevel="1" thickBot="1" x14ac:dyDescent="0.3">
      <c r="B64" s="385" t="s">
        <v>209</v>
      </c>
      <c r="C64" s="357"/>
      <c r="D64" s="358"/>
      <c r="E64" s="185">
        <f t="shared" si="4"/>
        <v>0</v>
      </c>
      <c r="F64" s="359"/>
      <c r="G64" s="349">
        <v>440.92880000000002</v>
      </c>
      <c r="H64" s="206">
        <v>452.35649999999998</v>
      </c>
      <c r="I64" s="206">
        <v>9.4445999999999994</v>
      </c>
      <c r="J64" s="297">
        <f t="shared" si="5"/>
        <v>461.80109999999996</v>
      </c>
      <c r="K64" s="386" t="s">
        <v>210</v>
      </c>
      <c r="L64" s="191" t="s">
        <v>225</v>
      </c>
      <c r="M64" s="194">
        <f t="shared" si="6"/>
        <v>1</v>
      </c>
      <c r="N64" s="193">
        <f t="shared" si="7"/>
        <v>1.0259173363137086</v>
      </c>
      <c r="O64" s="195">
        <f t="shared" si="8"/>
        <v>-11.427699999999959</v>
      </c>
      <c r="P64" s="252"/>
      <c r="Q64" s="466"/>
      <c r="R64" s="467"/>
      <c r="S64" s="467"/>
      <c r="T64" s="468"/>
      <c r="U64" s="261"/>
      <c r="V64" s="261"/>
      <c r="W64" s="261"/>
      <c r="X64" s="262"/>
      <c r="Y64" s="261"/>
    </row>
    <row r="65" spans="2:25" ht="15.75" hidden="1" outlineLevel="1" thickBot="1" x14ac:dyDescent="0.3">
      <c r="B65" s="385" t="s">
        <v>211</v>
      </c>
      <c r="C65" s="357"/>
      <c r="D65" s="358"/>
      <c r="E65" s="185">
        <f t="shared" si="4"/>
        <v>0</v>
      </c>
      <c r="F65" s="359"/>
      <c r="G65" s="349">
        <v>372.7919</v>
      </c>
      <c r="H65" s="206">
        <v>346.5908</v>
      </c>
      <c r="I65" s="206">
        <v>23.6114</v>
      </c>
      <c r="J65" s="297">
        <f t="shared" si="5"/>
        <v>370.2022</v>
      </c>
      <c r="K65" s="386" t="s">
        <v>210</v>
      </c>
      <c r="L65" s="191" t="s">
        <v>226</v>
      </c>
      <c r="M65" s="194">
        <f t="shared" si="6"/>
        <v>1</v>
      </c>
      <c r="N65" s="193">
        <f t="shared" si="7"/>
        <v>0.92971655231779449</v>
      </c>
      <c r="O65" s="195">
        <f t="shared" si="8"/>
        <v>26.201099999999997</v>
      </c>
      <c r="P65" s="252"/>
      <c r="Q65" s="466"/>
      <c r="R65" s="467"/>
      <c r="S65" s="467"/>
      <c r="T65" s="468"/>
      <c r="U65" s="261"/>
      <c r="V65" s="261"/>
      <c r="W65" s="261"/>
      <c r="X65" s="262"/>
      <c r="Y65" s="261"/>
    </row>
    <row r="66" spans="2:25" ht="15.75" hidden="1" outlineLevel="1" thickBot="1" x14ac:dyDescent="0.3">
      <c r="B66" s="384" t="s">
        <v>212</v>
      </c>
      <c r="C66" s="357">
        <v>20.892600000000002</v>
      </c>
      <c r="D66" s="358">
        <v>11.1518</v>
      </c>
      <c r="E66" s="185">
        <f t="shared" si="4"/>
        <v>32.044400000000003</v>
      </c>
      <c r="F66" s="359">
        <v>494.39280000000002</v>
      </c>
      <c r="G66" s="349">
        <v>509.3913</v>
      </c>
      <c r="H66" s="206"/>
      <c r="I66" s="206"/>
      <c r="J66" s="297">
        <f t="shared" si="5"/>
        <v>0</v>
      </c>
      <c r="K66" s="309" t="s">
        <v>199</v>
      </c>
      <c r="L66" s="191" t="s">
        <v>227</v>
      </c>
      <c r="M66" s="194">
        <f t="shared" si="6"/>
        <v>2.9443965768555486E-2</v>
      </c>
      <c r="N66" s="193">
        <f t="shared" si="7"/>
        <v>4.1014834764551339E-2</v>
      </c>
      <c r="O66" s="195" t="str">
        <f t="shared" si="8"/>
        <v/>
      </c>
      <c r="P66" s="252"/>
      <c r="Q66" s="466"/>
      <c r="R66" s="467"/>
      <c r="S66" s="467"/>
      <c r="T66" s="468"/>
      <c r="U66" s="261"/>
      <c r="V66" s="261"/>
      <c r="W66" s="261"/>
      <c r="X66" s="262"/>
      <c r="Y66" s="261"/>
    </row>
    <row r="67" spans="2:25" ht="15.75" hidden="1" outlineLevel="1" thickBot="1" x14ac:dyDescent="0.3">
      <c r="B67" s="180"/>
      <c r="C67" s="357"/>
      <c r="D67" s="358"/>
      <c r="E67" s="185">
        <f t="shared" si="4"/>
        <v>0</v>
      </c>
      <c r="F67" s="359"/>
      <c r="G67" s="349"/>
      <c r="H67" s="206"/>
      <c r="I67" s="206"/>
      <c r="J67" s="297">
        <f t="shared" si="5"/>
        <v>0</v>
      </c>
      <c r="K67" s="309"/>
      <c r="L67" s="191"/>
      <c r="M67" s="194" t="str">
        <f t="shared" si="6"/>
        <v/>
      </c>
      <c r="N67" s="193" t="str">
        <f t="shared" si="7"/>
        <v/>
      </c>
      <c r="O67" s="195" t="str">
        <f t="shared" si="8"/>
        <v/>
      </c>
      <c r="P67" s="252"/>
      <c r="Q67" s="466"/>
      <c r="R67" s="467"/>
      <c r="S67" s="467"/>
      <c r="T67" s="468"/>
      <c r="U67" s="261"/>
      <c r="V67" s="261"/>
      <c r="W67" s="261"/>
      <c r="X67" s="262"/>
      <c r="Y67" s="261"/>
    </row>
    <row r="68" spans="2:25" ht="15.75" hidden="1" outlineLevel="1" thickBot="1" x14ac:dyDescent="0.3">
      <c r="B68" s="180"/>
      <c r="C68" s="357"/>
      <c r="D68" s="358"/>
      <c r="E68" s="185">
        <f t="shared" si="4"/>
        <v>0</v>
      </c>
      <c r="F68" s="359"/>
      <c r="G68" s="349"/>
      <c r="H68" s="206"/>
      <c r="I68" s="206"/>
      <c r="J68" s="297">
        <f t="shared" si="5"/>
        <v>0</v>
      </c>
      <c r="K68" s="309"/>
      <c r="L68" s="191"/>
      <c r="M68" s="194" t="str">
        <f t="shared" si="6"/>
        <v/>
      </c>
      <c r="N68" s="193" t="str">
        <f t="shared" si="7"/>
        <v/>
      </c>
      <c r="O68" s="195" t="str">
        <f t="shared" si="8"/>
        <v/>
      </c>
      <c r="P68" s="252"/>
      <c r="Q68" s="466"/>
      <c r="R68" s="467"/>
      <c r="S68" s="467"/>
      <c r="T68" s="468"/>
      <c r="U68" s="261"/>
      <c r="V68" s="261"/>
      <c r="W68" s="261"/>
      <c r="X68" s="262"/>
      <c r="Y68" s="261"/>
    </row>
    <row r="69" spans="2:25" ht="15.75" hidden="1" outlineLevel="1" thickBot="1" x14ac:dyDescent="0.3">
      <c r="B69" s="180"/>
      <c r="C69" s="357"/>
      <c r="D69" s="358"/>
      <c r="E69" s="185">
        <f t="shared" si="4"/>
        <v>0</v>
      </c>
      <c r="F69" s="359"/>
      <c r="G69" s="349"/>
      <c r="H69" s="206"/>
      <c r="I69" s="206"/>
      <c r="J69" s="297">
        <f t="shared" si="5"/>
        <v>0</v>
      </c>
      <c r="K69" s="309"/>
      <c r="L69" s="191"/>
      <c r="M69" s="194" t="str">
        <f t="shared" si="6"/>
        <v/>
      </c>
      <c r="N69" s="193" t="str">
        <f t="shared" si="7"/>
        <v/>
      </c>
      <c r="O69" s="195" t="str">
        <f t="shared" si="8"/>
        <v/>
      </c>
      <c r="P69" s="252"/>
      <c r="Q69" s="466"/>
      <c r="R69" s="467"/>
      <c r="S69" s="467"/>
      <c r="T69" s="468"/>
      <c r="U69" s="261"/>
      <c r="V69" s="261"/>
      <c r="W69" s="261"/>
      <c r="X69" s="262"/>
      <c r="Y69" s="261"/>
    </row>
    <row r="70" spans="2:25" ht="15.75" hidden="1" outlineLevel="1" thickBot="1" x14ac:dyDescent="0.3">
      <c r="B70" s="180"/>
      <c r="C70" s="357"/>
      <c r="D70" s="358"/>
      <c r="E70" s="185">
        <f t="shared" si="4"/>
        <v>0</v>
      </c>
      <c r="F70" s="359"/>
      <c r="G70" s="349"/>
      <c r="H70" s="206"/>
      <c r="I70" s="206"/>
      <c r="J70" s="297">
        <f t="shared" si="5"/>
        <v>0</v>
      </c>
      <c r="K70" s="309"/>
      <c r="L70" s="191"/>
      <c r="M70" s="194" t="str">
        <f t="shared" si="6"/>
        <v/>
      </c>
      <c r="N70" s="193" t="str">
        <f t="shared" si="7"/>
        <v/>
      </c>
      <c r="O70" s="195" t="str">
        <f t="shared" si="8"/>
        <v/>
      </c>
      <c r="P70" s="252"/>
      <c r="Q70" s="466"/>
      <c r="R70" s="467"/>
      <c r="S70" s="467"/>
      <c r="T70" s="468"/>
      <c r="U70" s="261"/>
      <c r="V70" s="261"/>
      <c r="W70" s="261"/>
      <c r="X70" s="262"/>
      <c r="Y70" s="261"/>
    </row>
    <row r="71" spans="2:25" ht="15.75" hidden="1" outlineLevel="1" thickBot="1" x14ac:dyDescent="0.3">
      <c r="B71" s="180"/>
      <c r="C71" s="357"/>
      <c r="D71" s="358"/>
      <c r="E71" s="185">
        <f t="shared" si="4"/>
        <v>0</v>
      </c>
      <c r="F71" s="359"/>
      <c r="G71" s="349"/>
      <c r="H71" s="206"/>
      <c r="I71" s="206"/>
      <c r="J71" s="297">
        <f t="shared" si="5"/>
        <v>0</v>
      </c>
      <c r="K71" s="309"/>
      <c r="L71" s="191"/>
      <c r="M71" s="194" t="str">
        <f t="shared" si="6"/>
        <v/>
      </c>
      <c r="N71" s="193" t="str">
        <f t="shared" si="7"/>
        <v/>
      </c>
      <c r="O71" s="195" t="str">
        <f t="shared" si="8"/>
        <v/>
      </c>
      <c r="P71" s="252"/>
      <c r="Q71" s="466"/>
      <c r="R71" s="467"/>
      <c r="S71" s="467"/>
      <c r="T71" s="468"/>
      <c r="U71" s="261"/>
      <c r="V71" s="261"/>
      <c r="W71" s="261"/>
      <c r="X71" s="262"/>
      <c r="Y71" s="261"/>
    </row>
    <row r="72" spans="2:25" ht="15.75" hidden="1" outlineLevel="1" thickBot="1" x14ac:dyDescent="0.3">
      <c r="B72" s="180"/>
      <c r="C72" s="357"/>
      <c r="D72" s="358"/>
      <c r="E72" s="185">
        <f t="shared" si="4"/>
        <v>0</v>
      </c>
      <c r="F72" s="359"/>
      <c r="G72" s="349"/>
      <c r="H72" s="206"/>
      <c r="I72" s="206"/>
      <c r="J72" s="297">
        <f t="shared" si="5"/>
        <v>0</v>
      </c>
      <c r="K72" s="309"/>
      <c r="L72" s="191"/>
      <c r="M72" s="194" t="str">
        <f t="shared" si="6"/>
        <v/>
      </c>
      <c r="N72" s="193" t="str">
        <f t="shared" si="7"/>
        <v/>
      </c>
      <c r="O72" s="195" t="str">
        <f t="shared" si="8"/>
        <v/>
      </c>
      <c r="P72" s="252"/>
      <c r="Q72" s="466"/>
      <c r="R72" s="467"/>
      <c r="S72" s="467"/>
      <c r="T72" s="468"/>
      <c r="U72" s="261"/>
      <c r="V72" s="261"/>
      <c r="W72" s="261"/>
      <c r="X72" s="262"/>
      <c r="Y72" s="261"/>
    </row>
    <row r="73" spans="2:25" ht="15.75" hidden="1" outlineLevel="1" thickBot="1" x14ac:dyDescent="0.3">
      <c r="B73" s="180"/>
      <c r="C73" s="357"/>
      <c r="D73" s="358"/>
      <c r="E73" s="185">
        <f t="shared" si="4"/>
        <v>0</v>
      </c>
      <c r="F73" s="359"/>
      <c r="G73" s="349"/>
      <c r="H73" s="206"/>
      <c r="I73" s="206"/>
      <c r="J73" s="297">
        <f t="shared" si="5"/>
        <v>0</v>
      </c>
      <c r="K73" s="309"/>
      <c r="L73" s="191"/>
      <c r="M73" s="194" t="str">
        <f t="shared" si="6"/>
        <v/>
      </c>
      <c r="N73" s="193" t="str">
        <f t="shared" si="7"/>
        <v/>
      </c>
      <c r="O73" s="195" t="str">
        <f t="shared" si="8"/>
        <v/>
      </c>
      <c r="P73" s="252"/>
      <c r="Q73" s="466"/>
      <c r="R73" s="467"/>
      <c r="S73" s="467"/>
      <c r="T73" s="468"/>
      <c r="U73" s="261"/>
      <c r="V73" s="261"/>
      <c r="W73" s="261"/>
      <c r="X73" s="262"/>
      <c r="Y73" s="261"/>
    </row>
    <row r="74" spans="2:25" ht="15.75" hidden="1" outlineLevel="1" thickBot="1" x14ac:dyDescent="0.3">
      <c r="B74" s="180"/>
      <c r="C74" s="357"/>
      <c r="D74" s="358"/>
      <c r="E74" s="185">
        <f t="shared" si="4"/>
        <v>0</v>
      </c>
      <c r="F74" s="359"/>
      <c r="G74" s="349"/>
      <c r="H74" s="206"/>
      <c r="I74" s="206"/>
      <c r="J74" s="297">
        <f t="shared" si="5"/>
        <v>0</v>
      </c>
      <c r="K74" s="309"/>
      <c r="L74" s="191"/>
      <c r="M74" s="194" t="str">
        <f t="shared" si="6"/>
        <v/>
      </c>
      <c r="N74" s="193" t="str">
        <f t="shared" si="7"/>
        <v/>
      </c>
      <c r="O74" s="195" t="str">
        <f t="shared" si="8"/>
        <v/>
      </c>
      <c r="P74" s="252"/>
      <c r="Q74" s="466"/>
      <c r="R74" s="467"/>
      <c r="S74" s="467"/>
      <c r="T74" s="468"/>
      <c r="U74" s="261"/>
      <c r="V74" s="261"/>
      <c r="W74" s="261"/>
      <c r="X74" s="262"/>
      <c r="Y74" s="261"/>
    </row>
    <row r="75" spans="2:25" ht="15.75" hidden="1" outlineLevel="1" thickBot="1" x14ac:dyDescent="0.3">
      <c r="B75" s="180"/>
      <c r="C75" s="357"/>
      <c r="D75" s="358"/>
      <c r="E75" s="185">
        <f t="shared" si="4"/>
        <v>0</v>
      </c>
      <c r="F75" s="359"/>
      <c r="G75" s="349"/>
      <c r="H75" s="206"/>
      <c r="I75" s="206"/>
      <c r="J75" s="297">
        <f t="shared" si="5"/>
        <v>0</v>
      </c>
      <c r="K75" s="309"/>
      <c r="L75" s="191"/>
      <c r="M75" s="194" t="str">
        <f t="shared" si="6"/>
        <v/>
      </c>
      <c r="N75" s="193" t="str">
        <f t="shared" si="7"/>
        <v/>
      </c>
      <c r="O75" s="195" t="str">
        <f t="shared" si="8"/>
        <v/>
      </c>
      <c r="P75" s="252"/>
      <c r="Q75" s="466"/>
      <c r="R75" s="467"/>
      <c r="S75" s="467"/>
      <c r="T75" s="468"/>
      <c r="U75" s="261"/>
      <c r="V75" s="261"/>
      <c r="W75" s="261"/>
      <c r="X75" s="262"/>
      <c r="Y75" s="261"/>
    </row>
    <row r="76" spans="2:25" ht="15.75" hidden="1" outlineLevel="1" thickBot="1" x14ac:dyDescent="0.3">
      <c r="B76" s="180"/>
      <c r="C76" s="357"/>
      <c r="D76" s="358"/>
      <c r="E76" s="185">
        <f t="shared" si="4"/>
        <v>0</v>
      </c>
      <c r="F76" s="359"/>
      <c r="G76" s="349"/>
      <c r="H76" s="206"/>
      <c r="I76" s="206"/>
      <c r="J76" s="297">
        <f t="shared" si="5"/>
        <v>0</v>
      </c>
      <c r="K76" s="309"/>
      <c r="L76" s="191"/>
      <c r="M76" s="194" t="str">
        <f t="shared" si="6"/>
        <v/>
      </c>
      <c r="N76" s="193" t="str">
        <f t="shared" si="7"/>
        <v/>
      </c>
      <c r="O76" s="195" t="str">
        <f t="shared" si="8"/>
        <v/>
      </c>
      <c r="P76" s="252"/>
      <c r="Q76" s="466"/>
      <c r="R76" s="467"/>
      <c r="S76" s="467"/>
      <c r="T76" s="468"/>
      <c r="U76" s="261"/>
      <c r="V76" s="261"/>
      <c r="W76" s="261"/>
      <c r="X76" s="262"/>
      <c r="Y76" s="261"/>
    </row>
    <row r="77" spans="2:25" ht="15.75" hidden="1" outlineLevel="1" thickBot="1" x14ac:dyDescent="0.3">
      <c r="B77" s="180"/>
      <c r="C77" s="357"/>
      <c r="D77" s="358"/>
      <c r="E77" s="185">
        <f t="shared" si="4"/>
        <v>0</v>
      </c>
      <c r="F77" s="359"/>
      <c r="G77" s="349"/>
      <c r="H77" s="206"/>
      <c r="I77" s="206"/>
      <c r="J77" s="297">
        <f t="shared" si="5"/>
        <v>0</v>
      </c>
      <c r="K77" s="309"/>
      <c r="L77" s="191"/>
      <c r="M77" s="194" t="str">
        <f t="shared" si="6"/>
        <v/>
      </c>
      <c r="N77" s="193" t="str">
        <f t="shared" si="7"/>
        <v/>
      </c>
      <c r="O77" s="195" t="str">
        <f t="shared" si="8"/>
        <v/>
      </c>
      <c r="P77" s="252"/>
      <c r="Q77" s="466"/>
      <c r="R77" s="467"/>
      <c r="S77" s="467"/>
      <c r="T77" s="468"/>
      <c r="U77" s="261"/>
      <c r="V77" s="261"/>
      <c r="W77" s="261"/>
      <c r="X77" s="262"/>
      <c r="Y77" s="261"/>
    </row>
    <row r="78" spans="2:25" ht="15.75" hidden="1" outlineLevel="1" thickBot="1" x14ac:dyDescent="0.3">
      <c r="B78" s="180"/>
      <c r="C78" s="357"/>
      <c r="D78" s="358"/>
      <c r="E78" s="185">
        <f t="shared" si="4"/>
        <v>0</v>
      </c>
      <c r="F78" s="359"/>
      <c r="G78" s="349"/>
      <c r="H78" s="206"/>
      <c r="I78" s="206"/>
      <c r="J78" s="297">
        <f t="shared" si="5"/>
        <v>0</v>
      </c>
      <c r="K78" s="309"/>
      <c r="L78" s="191"/>
      <c r="M78" s="194" t="str">
        <f t="shared" si="6"/>
        <v/>
      </c>
      <c r="N78" s="193" t="str">
        <f t="shared" si="7"/>
        <v/>
      </c>
      <c r="O78" s="195" t="str">
        <f t="shared" si="8"/>
        <v/>
      </c>
      <c r="P78" s="252"/>
      <c r="Q78" s="466"/>
      <c r="R78" s="467"/>
      <c r="S78" s="467"/>
      <c r="T78" s="468"/>
      <c r="U78" s="261"/>
      <c r="V78" s="261"/>
      <c r="W78" s="261"/>
      <c r="X78" s="262"/>
      <c r="Y78" s="261"/>
    </row>
    <row r="79" spans="2:25" ht="15.75" hidden="1" outlineLevel="1" thickBot="1" x14ac:dyDescent="0.3">
      <c r="B79" s="180"/>
      <c r="C79" s="357"/>
      <c r="D79" s="358"/>
      <c r="E79" s="185">
        <f t="shared" si="4"/>
        <v>0</v>
      </c>
      <c r="F79" s="359"/>
      <c r="G79" s="349"/>
      <c r="H79" s="206"/>
      <c r="I79" s="206"/>
      <c r="J79" s="297">
        <f t="shared" si="5"/>
        <v>0</v>
      </c>
      <c r="K79" s="309"/>
      <c r="L79" s="191"/>
      <c r="M79" s="194" t="str">
        <f t="shared" si="6"/>
        <v/>
      </c>
      <c r="N79" s="193" t="str">
        <f t="shared" si="7"/>
        <v/>
      </c>
      <c r="O79" s="195" t="str">
        <f t="shared" si="8"/>
        <v/>
      </c>
      <c r="P79" s="252"/>
      <c r="Q79" s="466"/>
      <c r="R79" s="467"/>
      <c r="S79" s="467"/>
      <c r="T79" s="468"/>
      <c r="U79" s="261"/>
      <c r="V79" s="261"/>
      <c r="W79" s="261"/>
      <c r="X79" s="262"/>
      <c r="Y79" s="261"/>
    </row>
    <row r="80" spans="2:25" ht="15.75" hidden="1" outlineLevel="1" thickBot="1" x14ac:dyDescent="0.3">
      <c r="B80" s="180"/>
      <c r="C80" s="357"/>
      <c r="D80" s="358"/>
      <c r="E80" s="185">
        <f t="shared" si="4"/>
        <v>0</v>
      </c>
      <c r="F80" s="359"/>
      <c r="G80" s="349"/>
      <c r="H80" s="206"/>
      <c r="I80" s="206"/>
      <c r="J80" s="297">
        <f t="shared" si="5"/>
        <v>0</v>
      </c>
      <c r="K80" s="309"/>
      <c r="L80" s="191"/>
      <c r="M80" s="194" t="str">
        <f t="shared" si="6"/>
        <v/>
      </c>
      <c r="N80" s="193" t="str">
        <f t="shared" si="7"/>
        <v/>
      </c>
      <c r="O80" s="195" t="str">
        <f t="shared" si="8"/>
        <v/>
      </c>
      <c r="P80" s="252"/>
      <c r="Q80" s="466"/>
      <c r="R80" s="467"/>
      <c r="S80" s="467"/>
      <c r="T80" s="468"/>
      <c r="U80" s="261"/>
      <c r="V80" s="261"/>
      <c r="W80" s="261"/>
      <c r="X80" s="262"/>
      <c r="Y80" s="261"/>
    </row>
    <row r="81" spans="2:25" ht="15.75" hidden="1" outlineLevel="1" thickBot="1" x14ac:dyDescent="0.3">
      <c r="B81" s="180"/>
      <c r="C81" s="357"/>
      <c r="D81" s="358"/>
      <c r="E81" s="185">
        <f t="shared" si="4"/>
        <v>0</v>
      </c>
      <c r="F81" s="359"/>
      <c r="G81" s="349"/>
      <c r="H81" s="206"/>
      <c r="I81" s="206"/>
      <c r="J81" s="297">
        <f t="shared" si="5"/>
        <v>0</v>
      </c>
      <c r="K81" s="309"/>
      <c r="L81" s="191"/>
      <c r="M81" s="194" t="str">
        <f t="shared" si="6"/>
        <v/>
      </c>
      <c r="N81" s="193" t="str">
        <f t="shared" si="7"/>
        <v/>
      </c>
      <c r="O81" s="195" t="str">
        <f t="shared" si="8"/>
        <v/>
      </c>
      <c r="P81" s="252"/>
      <c r="Q81" s="466"/>
      <c r="R81" s="467"/>
      <c r="S81" s="467"/>
      <c r="T81" s="468"/>
      <c r="U81" s="261"/>
      <c r="V81" s="261"/>
      <c r="W81" s="261"/>
      <c r="X81" s="262"/>
      <c r="Y81" s="261"/>
    </row>
    <row r="82" spans="2:25" ht="15.75" hidden="1" outlineLevel="1" thickBot="1" x14ac:dyDescent="0.3">
      <c r="B82" s="180"/>
      <c r="C82" s="357"/>
      <c r="D82" s="358"/>
      <c r="E82" s="185">
        <f t="shared" si="4"/>
        <v>0</v>
      </c>
      <c r="F82" s="359"/>
      <c r="G82" s="349"/>
      <c r="H82" s="206"/>
      <c r="I82" s="206"/>
      <c r="J82" s="297">
        <f t="shared" si="5"/>
        <v>0</v>
      </c>
      <c r="K82" s="309"/>
      <c r="L82" s="191"/>
      <c r="M82" s="194" t="str">
        <f t="shared" si="6"/>
        <v/>
      </c>
      <c r="N82" s="193" t="str">
        <f t="shared" si="7"/>
        <v/>
      </c>
      <c r="O82" s="195" t="str">
        <f t="shared" si="8"/>
        <v/>
      </c>
      <c r="P82" s="252"/>
      <c r="Q82" s="466"/>
      <c r="R82" s="467"/>
      <c r="S82" s="467"/>
      <c r="T82" s="468"/>
      <c r="U82" s="261"/>
      <c r="V82" s="261"/>
      <c r="W82" s="261"/>
      <c r="X82" s="262"/>
      <c r="Y82" s="261"/>
    </row>
    <row r="83" spans="2:25" ht="15.75" hidden="1" outlineLevel="1" thickBot="1" x14ac:dyDescent="0.3">
      <c r="B83" s="180"/>
      <c r="C83" s="357"/>
      <c r="D83" s="358"/>
      <c r="E83" s="185">
        <f t="shared" si="4"/>
        <v>0</v>
      </c>
      <c r="F83" s="359"/>
      <c r="G83" s="349"/>
      <c r="H83" s="206"/>
      <c r="I83" s="206"/>
      <c r="J83" s="297">
        <f t="shared" si="5"/>
        <v>0</v>
      </c>
      <c r="K83" s="309"/>
      <c r="L83" s="191"/>
      <c r="M83" s="194" t="str">
        <f t="shared" si="6"/>
        <v/>
      </c>
      <c r="N83" s="193" t="str">
        <f t="shared" si="7"/>
        <v/>
      </c>
      <c r="O83" s="195" t="str">
        <f t="shared" si="8"/>
        <v/>
      </c>
      <c r="P83" s="252"/>
      <c r="Q83" s="466"/>
      <c r="R83" s="467"/>
      <c r="S83" s="467"/>
      <c r="T83" s="468"/>
      <c r="U83" s="261"/>
      <c r="V83" s="261"/>
      <c r="W83" s="261"/>
      <c r="X83" s="262"/>
      <c r="Y83" s="261"/>
    </row>
    <row r="84" spans="2:25" ht="15.75" hidden="1" outlineLevel="1" thickBot="1" x14ac:dyDescent="0.3">
      <c r="B84" s="180"/>
      <c r="C84" s="357"/>
      <c r="D84" s="358"/>
      <c r="E84" s="185">
        <f t="shared" si="4"/>
        <v>0</v>
      </c>
      <c r="F84" s="359"/>
      <c r="G84" s="349"/>
      <c r="H84" s="206"/>
      <c r="I84" s="206"/>
      <c r="J84" s="297">
        <f t="shared" si="5"/>
        <v>0</v>
      </c>
      <c r="K84" s="309"/>
      <c r="L84" s="191"/>
      <c r="M84" s="194" t="str">
        <f t="shared" si="6"/>
        <v/>
      </c>
      <c r="N84" s="193" t="str">
        <f t="shared" si="7"/>
        <v/>
      </c>
      <c r="O84" s="195" t="str">
        <f t="shared" si="8"/>
        <v/>
      </c>
      <c r="P84" s="252"/>
      <c r="Q84" s="466"/>
      <c r="R84" s="467"/>
      <c r="S84" s="467"/>
      <c r="T84" s="468"/>
      <c r="U84" s="261"/>
      <c r="V84" s="261"/>
      <c r="W84" s="261"/>
      <c r="X84" s="262"/>
      <c r="Y84" s="261"/>
    </row>
    <row r="85" spans="2:25" ht="15.75" hidden="1" outlineLevel="1" thickBot="1" x14ac:dyDescent="0.3">
      <c r="B85" s="180"/>
      <c r="C85" s="357"/>
      <c r="D85" s="358"/>
      <c r="E85" s="185">
        <f t="shared" si="4"/>
        <v>0</v>
      </c>
      <c r="F85" s="359"/>
      <c r="G85" s="349"/>
      <c r="H85" s="206"/>
      <c r="I85" s="206"/>
      <c r="J85" s="297">
        <f t="shared" si="5"/>
        <v>0</v>
      </c>
      <c r="K85" s="309"/>
      <c r="L85" s="191"/>
      <c r="M85" s="194" t="str">
        <f t="shared" si="6"/>
        <v/>
      </c>
      <c r="N85" s="193" t="str">
        <f t="shared" si="7"/>
        <v/>
      </c>
      <c r="O85" s="195" t="str">
        <f t="shared" si="8"/>
        <v/>
      </c>
      <c r="P85" s="252"/>
      <c r="Q85" s="466"/>
      <c r="R85" s="467"/>
      <c r="S85" s="467"/>
      <c r="T85" s="468"/>
      <c r="U85" s="261"/>
      <c r="V85" s="261"/>
      <c r="W85" s="261"/>
      <c r="X85" s="262"/>
      <c r="Y85" s="261"/>
    </row>
    <row r="86" spans="2:25" ht="15.75" hidden="1" outlineLevel="1" thickBot="1" x14ac:dyDescent="0.3">
      <c r="B86" s="180"/>
      <c r="C86" s="357"/>
      <c r="D86" s="358"/>
      <c r="E86" s="185">
        <f t="shared" si="4"/>
        <v>0</v>
      </c>
      <c r="F86" s="359"/>
      <c r="G86" s="349"/>
      <c r="H86" s="206"/>
      <c r="I86" s="206"/>
      <c r="J86" s="297">
        <f t="shared" si="5"/>
        <v>0</v>
      </c>
      <c r="K86" s="309"/>
      <c r="L86" s="191"/>
      <c r="M86" s="194" t="str">
        <f t="shared" si="6"/>
        <v/>
      </c>
      <c r="N86" s="193" t="str">
        <f t="shared" si="7"/>
        <v/>
      </c>
      <c r="O86" s="195" t="str">
        <f t="shared" si="8"/>
        <v/>
      </c>
      <c r="P86" s="252"/>
      <c r="Q86" s="466"/>
      <c r="R86" s="467"/>
      <c r="S86" s="467"/>
      <c r="T86" s="468"/>
      <c r="U86" s="261"/>
      <c r="V86" s="261"/>
      <c r="W86" s="261"/>
      <c r="X86" s="262"/>
      <c r="Y86" s="261"/>
    </row>
    <row r="87" spans="2:25" ht="15.75" hidden="1" outlineLevel="1" thickBot="1" x14ac:dyDescent="0.3">
      <c r="B87" s="180"/>
      <c r="C87" s="357"/>
      <c r="D87" s="358"/>
      <c r="E87" s="185">
        <f t="shared" si="4"/>
        <v>0</v>
      </c>
      <c r="F87" s="359"/>
      <c r="G87" s="349"/>
      <c r="H87" s="206"/>
      <c r="I87" s="206"/>
      <c r="J87" s="297">
        <f t="shared" si="5"/>
        <v>0</v>
      </c>
      <c r="K87" s="309"/>
      <c r="L87" s="191"/>
      <c r="M87" s="194" t="str">
        <f t="shared" si="6"/>
        <v/>
      </c>
      <c r="N87" s="193" t="str">
        <f t="shared" si="7"/>
        <v/>
      </c>
      <c r="O87" s="195" t="str">
        <f t="shared" si="8"/>
        <v/>
      </c>
      <c r="P87" s="252"/>
      <c r="Q87" s="466"/>
      <c r="R87" s="467"/>
      <c r="S87" s="467"/>
      <c r="T87" s="468"/>
      <c r="U87" s="261"/>
      <c r="V87" s="261"/>
      <c r="W87" s="261"/>
      <c r="X87" s="262"/>
      <c r="Y87" s="261"/>
    </row>
    <row r="88" spans="2:25" ht="15.75" hidden="1" outlineLevel="1" thickBot="1" x14ac:dyDescent="0.3">
      <c r="B88" s="180"/>
      <c r="C88" s="357"/>
      <c r="D88" s="358"/>
      <c r="E88" s="185">
        <f t="shared" si="4"/>
        <v>0</v>
      </c>
      <c r="F88" s="359"/>
      <c r="G88" s="349"/>
      <c r="H88" s="206"/>
      <c r="I88" s="206"/>
      <c r="J88" s="297">
        <f t="shared" si="5"/>
        <v>0</v>
      </c>
      <c r="K88" s="309"/>
      <c r="L88" s="191"/>
      <c r="M88" s="194" t="str">
        <f t="shared" si="6"/>
        <v/>
      </c>
      <c r="N88" s="193" t="str">
        <f t="shared" si="7"/>
        <v/>
      </c>
      <c r="O88" s="195" t="str">
        <f t="shared" si="8"/>
        <v/>
      </c>
      <c r="P88" s="252"/>
      <c r="Q88" s="466"/>
      <c r="R88" s="467"/>
      <c r="S88" s="467"/>
      <c r="T88" s="468"/>
      <c r="U88" s="261"/>
      <c r="V88" s="261"/>
      <c r="W88" s="261"/>
      <c r="X88" s="262"/>
      <c r="Y88" s="261"/>
    </row>
    <row r="89" spans="2:25" ht="15.75" hidden="1" outlineLevel="1" thickBot="1" x14ac:dyDescent="0.3">
      <c r="B89" s="180"/>
      <c r="C89" s="357"/>
      <c r="D89" s="358"/>
      <c r="E89" s="185">
        <f t="shared" si="4"/>
        <v>0</v>
      </c>
      <c r="F89" s="359"/>
      <c r="G89" s="349"/>
      <c r="H89" s="206"/>
      <c r="I89" s="206"/>
      <c r="J89" s="297">
        <f t="shared" si="5"/>
        <v>0</v>
      </c>
      <c r="K89" s="309"/>
      <c r="L89" s="191"/>
      <c r="M89" s="194" t="str">
        <f t="shared" si="6"/>
        <v/>
      </c>
      <c r="N89" s="193" t="str">
        <f t="shared" si="7"/>
        <v/>
      </c>
      <c r="O89" s="195" t="str">
        <f t="shared" si="8"/>
        <v/>
      </c>
      <c r="P89" s="252"/>
      <c r="Q89" s="466"/>
      <c r="R89" s="467"/>
      <c r="S89" s="467"/>
      <c r="T89" s="468"/>
      <c r="U89" s="261"/>
      <c r="V89" s="261"/>
      <c r="W89" s="261"/>
      <c r="X89" s="262"/>
      <c r="Y89" s="261"/>
    </row>
    <row r="90" spans="2:25" ht="15.75" hidden="1" outlineLevel="1" thickBot="1" x14ac:dyDescent="0.3">
      <c r="B90" s="180"/>
      <c r="C90" s="357"/>
      <c r="D90" s="358"/>
      <c r="E90" s="185">
        <f t="shared" si="4"/>
        <v>0</v>
      </c>
      <c r="F90" s="359"/>
      <c r="G90" s="349"/>
      <c r="H90" s="206"/>
      <c r="I90" s="206"/>
      <c r="J90" s="297">
        <f t="shared" si="5"/>
        <v>0</v>
      </c>
      <c r="K90" s="309"/>
      <c r="L90" s="191"/>
      <c r="M90" s="194" t="str">
        <f t="shared" si="6"/>
        <v/>
      </c>
      <c r="N90" s="193" t="str">
        <f t="shared" si="7"/>
        <v/>
      </c>
      <c r="O90" s="195" t="str">
        <f t="shared" si="8"/>
        <v/>
      </c>
      <c r="P90" s="252"/>
      <c r="Q90" s="466"/>
      <c r="R90" s="467"/>
      <c r="S90" s="467"/>
      <c r="T90" s="468"/>
      <c r="U90" s="261"/>
      <c r="V90" s="261"/>
      <c r="W90" s="261"/>
      <c r="X90" s="262"/>
      <c r="Y90" s="261"/>
    </row>
    <row r="91" spans="2:25" ht="15.75" hidden="1" outlineLevel="1" thickBot="1" x14ac:dyDescent="0.3">
      <c r="B91" s="180"/>
      <c r="C91" s="357"/>
      <c r="D91" s="358"/>
      <c r="E91" s="185">
        <f t="shared" si="4"/>
        <v>0</v>
      </c>
      <c r="F91" s="359"/>
      <c r="G91" s="349"/>
      <c r="H91" s="206"/>
      <c r="I91" s="206"/>
      <c r="J91" s="297">
        <f t="shared" si="5"/>
        <v>0</v>
      </c>
      <c r="K91" s="309"/>
      <c r="L91" s="191"/>
      <c r="M91" s="194" t="str">
        <f t="shared" si="6"/>
        <v/>
      </c>
      <c r="N91" s="193" t="str">
        <f t="shared" si="7"/>
        <v/>
      </c>
      <c r="O91" s="195" t="str">
        <f t="shared" si="8"/>
        <v/>
      </c>
      <c r="P91" s="252"/>
      <c r="Q91" s="466"/>
      <c r="R91" s="467"/>
      <c r="S91" s="467"/>
      <c r="T91" s="468"/>
      <c r="U91" s="261"/>
      <c r="V91" s="261"/>
      <c r="W91" s="261"/>
      <c r="X91" s="262"/>
      <c r="Y91" s="261"/>
    </row>
    <row r="92" spans="2:25" ht="15.75" hidden="1" outlineLevel="1" thickBot="1" x14ac:dyDescent="0.3">
      <c r="B92" s="180"/>
      <c r="C92" s="357"/>
      <c r="D92" s="358"/>
      <c r="E92" s="185">
        <f t="shared" si="4"/>
        <v>0</v>
      </c>
      <c r="F92" s="359"/>
      <c r="G92" s="349"/>
      <c r="H92" s="206"/>
      <c r="I92" s="206"/>
      <c r="J92" s="297">
        <f t="shared" si="5"/>
        <v>0</v>
      </c>
      <c r="K92" s="309"/>
      <c r="L92" s="191"/>
      <c r="M92" s="194" t="str">
        <f t="shared" si="6"/>
        <v/>
      </c>
      <c r="N92" s="193" t="str">
        <f t="shared" si="7"/>
        <v/>
      </c>
      <c r="O92" s="195" t="str">
        <f t="shared" si="8"/>
        <v/>
      </c>
      <c r="P92" s="252"/>
      <c r="Q92" s="466"/>
      <c r="R92" s="467"/>
      <c r="S92" s="467"/>
      <c r="T92" s="468"/>
      <c r="U92" s="261"/>
      <c r="V92" s="261"/>
      <c r="W92" s="261"/>
      <c r="X92" s="262"/>
      <c r="Y92" s="261"/>
    </row>
    <row r="93" spans="2:25" ht="15.75" hidden="1" outlineLevel="1" thickBot="1" x14ac:dyDescent="0.3">
      <c r="B93" s="180"/>
      <c r="C93" s="357"/>
      <c r="D93" s="358"/>
      <c r="E93" s="185">
        <f t="shared" si="4"/>
        <v>0</v>
      </c>
      <c r="F93" s="359"/>
      <c r="G93" s="349"/>
      <c r="H93" s="206"/>
      <c r="I93" s="206"/>
      <c r="J93" s="297">
        <f t="shared" si="5"/>
        <v>0</v>
      </c>
      <c r="K93" s="309"/>
      <c r="L93" s="191"/>
      <c r="M93" s="194" t="str">
        <f t="shared" si="6"/>
        <v/>
      </c>
      <c r="N93" s="193" t="str">
        <f t="shared" si="7"/>
        <v/>
      </c>
      <c r="O93" s="195" t="str">
        <f t="shared" si="8"/>
        <v/>
      </c>
      <c r="P93" s="252"/>
      <c r="Q93" s="466"/>
      <c r="R93" s="467"/>
      <c r="S93" s="467"/>
      <c r="T93" s="468"/>
      <c r="U93" s="261"/>
      <c r="V93" s="261"/>
      <c r="W93" s="261"/>
      <c r="X93" s="262"/>
      <c r="Y93" s="261"/>
    </row>
    <row r="94" spans="2:25" ht="15.75" hidden="1" outlineLevel="1" thickBot="1" x14ac:dyDescent="0.3">
      <c r="B94" s="180"/>
      <c r="C94" s="357"/>
      <c r="D94" s="358"/>
      <c r="E94" s="185">
        <f t="shared" si="4"/>
        <v>0</v>
      </c>
      <c r="F94" s="359"/>
      <c r="G94" s="349"/>
      <c r="H94" s="206"/>
      <c r="I94" s="206"/>
      <c r="J94" s="297">
        <f t="shared" si="5"/>
        <v>0</v>
      </c>
      <c r="K94" s="309"/>
      <c r="L94" s="191"/>
      <c r="M94" s="194" t="str">
        <f t="shared" si="6"/>
        <v/>
      </c>
      <c r="N94" s="193" t="str">
        <f t="shared" si="7"/>
        <v/>
      </c>
      <c r="O94" s="195" t="str">
        <f t="shared" si="8"/>
        <v/>
      </c>
      <c r="P94" s="252"/>
      <c r="Q94" s="466"/>
      <c r="R94" s="467"/>
      <c r="S94" s="467"/>
      <c r="T94" s="468"/>
      <c r="U94" s="261"/>
      <c r="V94" s="261"/>
      <c r="W94" s="261"/>
      <c r="X94" s="262"/>
      <c r="Y94" s="261"/>
    </row>
    <row r="95" spans="2:25" ht="15.75" hidden="1" outlineLevel="1" thickBot="1" x14ac:dyDescent="0.3">
      <c r="B95" s="180"/>
      <c r="C95" s="357"/>
      <c r="D95" s="358"/>
      <c r="E95" s="185">
        <f t="shared" si="4"/>
        <v>0</v>
      </c>
      <c r="F95" s="359"/>
      <c r="G95" s="349"/>
      <c r="H95" s="206"/>
      <c r="I95" s="206"/>
      <c r="J95" s="297">
        <f t="shared" si="5"/>
        <v>0</v>
      </c>
      <c r="K95" s="309"/>
      <c r="L95" s="191"/>
      <c r="M95" s="194" t="str">
        <f t="shared" si="6"/>
        <v/>
      </c>
      <c r="N95" s="193" t="str">
        <f t="shared" si="7"/>
        <v/>
      </c>
      <c r="O95" s="195" t="str">
        <f t="shared" si="8"/>
        <v/>
      </c>
      <c r="P95" s="252"/>
      <c r="Q95" s="466"/>
      <c r="R95" s="467"/>
      <c r="S95" s="467"/>
      <c r="T95" s="468"/>
      <c r="U95" s="261"/>
      <c r="V95" s="261"/>
      <c r="W95" s="261"/>
      <c r="X95" s="262"/>
      <c r="Y95" s="261"/>
    </row>
    <row r="96" spans="2:25" ht="15.75" hidden="1" outlineLevel="1" thickBot="1" x14ac:dyDescent="0.3">
      <c r="B96" s="180"/>
      <c r="C96" s="357"/>
      <c r="D96" s="358"/>
      <c r="E96" s="185">
        <f t="shared" si="4"/>
        <v>0</v>
      </c>
      <c r="F96" s="359"/>
      <c r="G96" s="349"/>
      <c r="H96" s="206"/>
      <c r="I96" s="206"/>
      <c r="J96" s="297">
        <f t="shared" si="5"/>
        <v>0</v>
      </c>
      <c r="K96" s="309"/>
      <c r="L96" s="191"/>
      <c r="M96" s="194" t="str">
        <f t="shared" si="6"/>
        <v/>
      </c>
      <c r="N96" s="193" t="str">
        <f t="shared" si="7"/>
        <v/>
      </c>
      <c r="O96" s="195" t="str">
        <f t="shared" si="8"/>
        <v/>
      </c>
      <c r="P96" s="252"/>
      <c r="Q96" s="466"/>
      <c r="R96" s="467"/>
      <c r="S96" s="467"/>
      <c r="T96" s="468"/>
      <c r="U96" s="261"/>
      <c r="V96" s="261"/>
      <c r="W96" s="261"/>
      <c r="X96" s="262"/>
      <c r="Y96" s="261"/>
    </row>
    <row r="97" spans="2:25" ht="15.75" hidden="1" outlineLevel="1" thickBot="1" x14ac:dyDescent="0.3">
      <c r="B97" s="180"/>
      <c r="C97" s="357"/>
      <c r="D97" s="358"/>
      <c r="E97" s="185">
        <f t="shared" si="4"/>
        <v>0</v>
      </c>
      <c r="F97" s="359"/>
      <c r="G97" s="349"/>
      <c r="H97" s="206"/>
      <c r="I97" s="206"/>
      <c r="J97" s="297">
        <f t="shared" si="5"/>
        <v>0</v>
      </c>
      <c r="K97" s="309"/>
      <c r="L97" s="191"/>
      <c r="M97" s="194" t="str">
        <f t="shared" si="6"/>
        <v/>
      </c>
      <c r="N97" s="193" t="str">
        <f t="shared" si="7"/>
        <v/>
      </c>
      <c r="O97" s="195" t="str">
        <f t="shared" si="8"/>
        <v/>
      </c>
      <c r="P97" s="252"/>
      <c r="Q97" s="466"/>
      <c r="R97" s="467"/>
      <c r="S97" s="467"/>
      <c r="T97" s="468"/>
      <c r="U97" s="261"/>
      <c r="V97" s="261"/>
      <c r="W97" s="261"/>
      <c r="X97" s="262"/>
      <c r="Y97" s="261"/>
    </row>
    <row r="98" spans="2:25" ht="15.75" hidden="1" outlineLevel="1" thickBot="1" x14ac:dyDescent="0.3">
      <c r="B98" s="180"/>
      <c r="C98" s="357"/>
      <c r="D98" s="358"/>
      <c r="E98" s="185">
        <f t="shared" si="4"/>
        <v>0</v>
      </c>
      <c r="F98" s="359"/>
      <c r="G98" s="349"/>
      <c r="H98" s="206"/>
      <c r="I98" s="206"/>
      <c r="J98" s="297">
        <f t="shared" si="5"/>
        <v>0</v>
      </c>
      <c r="K98" s="309"/>
      <c r="L98" s="191"/>
      <c r="M98" s="194" t="str">
        <f t="shared" si="6"/>
        <v/>
      </c>
      <c r="N98" s="193" t="str">
        <f t="shared" si="7"/>
        <v/>
      </c>
      <c r="O98" s="195" t="str">
        <f t="shared" si="8"/>
        <v/>
      </c>
      <c r="P98" s="252"/>
      <c r="Q98" s="466"/>
      <c r="R98" s="467"/>
      <c r="S98" s="467"/>
      <c r="T98" s="468"/>
      <c r="U98" s="261"/>
      <c r="V98" s="261"/>
      <c r="W98" s="261"/>
      <c r="X98" s="262"/>
      <c r="Y98" s="261"/>
    </row>
    <row r="99" spans="2:25" ht="15.75" hidden="1" outlineLevel="1" thickBot="1" x14ac:dyDescent="0.3">
      <c r="B99" s="180"/>
      <c r="C99" s="357"/>
      <c r="D99" s="358"/>
      <c r="E99" s="185">
        <f t="shared" si="4"/>
        <v>0</v>
      </c>
      <c r="F99" s="359"/>
      <c r="G99" s="349"/>
      <c r="H99" s="206"/>
      <c r="I99" s="206"/>
      <c r="J99" s="297">
        <f t="shared" si="5"/>
        <v>0</v>
      </c>
      <c r="K99" s="309"/>
      <c r="L99" s="191"/>
      <c r="M99" s="194" t="str">
        <f t="shared" si="6"/>
        <v/>
      </c>
      <c r="N99" s="193" t="str">
        <f t="shared" si="7"/>
        <v/>
      </c>
      <c r="O99" s="195" t="str">
        <f t="shared" si="8"/>
        <v/>
      </c>
      <c r="P99" s="252"/>
      <c r="Q99" s="466"/>
      <c r="R99" s="467"/>
      <c r="S99" s="467"/>
      <c r="T99" s="468"/>
      <c r="U99" s="261"/>
      <c r="V99" s="261"/>
      <c r="W99" s="261"/>
      <c r="X99" s="262"/>
      <c r="Y99" s="261"/>
    </row>
    <row r="100" spans="2:25" ht="15.75" hidden="1" outlineLevel="1" thickBot="1" x14ac:dyDescent="0.3">
      <c r="B100" s="180"/>
      <c r="C100" s="357"/>
      <c r="D100" s="358"/>
      <c r="E100" s="185">
        <f t="shared" si="4"/>
        <v>0</v>
      </c>
      <c r="F100" s="359"/>
      <c r="G100" s="349"/>
      <c r="H100" s="206"/>
      <c r="I100" s="206"/>
      <c r="J100" s="297">
        <f t="shared" si="5"/>
        <v>0</v>
      </c>
      <c r="K100" s="309"/>
      <c r="L100" s="191"/>
      <c r="M100" s="194" t="str">
        <f t="shared" si="6"/>
        <v/>
      </c>
      <c r="N100" s="193" t="str">
        <f t="shared" si="7"/>
        <v/>
      </c>
      <c r="O100" s="195" t="str">
        <f t="shared" si="8"/>
        <v/>
      </c>
      <c r="P100" s="252"/>
      <c r="Q100" s="466"/>
      <c r="R100" s="467"/>
      <c r="S100" s="467"/>
      <c r="T100" s="468"/>
      <c r="U100" s="261"/>
      <c r="V100" s="261"/>
      <c r="W100" s="261"/>
      <c r="X100" s="262"/>
      <c r="Y100" s="261"/>
    </row>
    <row r="101" spans="2:25" ht="15.75" hidden="1" outlineLevel="1" thickBot="1" x14ac:dyDescent="0.3">
      <c r="B101" s="180"/>
      <c r="C101" s="357"/>
      <c r="D101" s="358"/>
      <c r="E101" s="185">
        <f t="shared" si="4"/>
        <v>0</v>
      </c>
      <c r="F101" s="359"/>
      <c r="G101" s="349"/>
      <c r="H101" s="206"/>
      <c r="I101" s="206"/>
      <c r="J101" s="297">
        <f t="shared" si="5"/>
        <v>0</v>
      </c>
      <c r="K101" s="309"/>
      <c r="L101" s="191"/>
      <c r="M101" s="194" t="str">
        <f t="shared" si="6"/>
        <v/>
      </c>
      <c r="N101" s="193" t="str">
        <f t="shared" si="7"/>
        <v/>
      </c>
      <c r="O101" s="195" t="str">
        <f t="shared" si="8"/>
        <v/>
      </c>
      <c r="P101" s="252"/>
      <c r="Q101" s="466"/>
      <c r="R101" s="467"/>
      <c r="S101" s="467"/>
      <c r="T101" s="468"/>
      <c r="U101" s="261"/>
      <c r="V101" s="261"/>
      <c r="W101" s="261"/>
      <c r="X101" s="262"/>
      <c r="Y101" s="261"/>
    </row>
    <row r="102" spans="2:25" ht="15.75" hidden="1" outlineLevel="1" thickBot="1" x14ac:dyDescent="0.3">
      <c r="B102" s="180"/>
      <c r="C102" s="357"/>
      <c r="D102" s="358"/>
      <c r="E102" s="185">
        <f t="shared" si="4"/>
        <v>0</v>
      </c>
      <c r="F102" s="359"/>
      <c r="G102" s="349"/>
      <c r="H102" s="206"/>
      <c r="I102" s="206"/>
      <c r="J102" s="297">
        <f t="shared" si="5"/>
        <v>0</v>
      </c>
      <c r="K102" s="309"/>
      <c r="L102" s="191"/>
      <c r="M102" s="194" t="str">
        <f t="shared" si="6"/>
        <v/>
      </c>
      <c r="N102" s="193" t="str">
        <f t="shared" si="7"/>
        <v/>
      </c>
      <c r="O102" s="195" t="str">
        <f t="shared" si="8"/>
        <v/>
      </c>
      <c r="P102" s="252"/>
      <c r="Q102" s="466"/>
      <c r="R102" s="467"/>
      <c r="S102" s="467"/>
      <c r="T102" s="468"/>
      <c r="U102" s="261"/>
      <c r="V102" s="261"/>
      <c r="W102" s="261"/>
      <c r="X102" s="262"/>
      <c r="Y102" s="261"/>
    </row>
    <row r="103" spans="2:25" ht="15.75" hidden="1" outlineLevel="1" thickBot="1" x14ac:dyDescent="0.3">
      <c r="B103" s="180"/>
      <c r="C103" s="357"/>
      <c r="D103" s="358"/>
      <c r="E103" s="185">
        <f t="shared" si="4"/>
        <v>0</v>
      </c>
      <c r="F103" s="359"/>
      <c r="G103" s="349"/>
      <c r="H103" s="206"/>
      <c r="I103" s="206"/>
      <c r="J103" s="297">
        <f t="shared" si="5"/>
        <v>0</v>
      </c>
      <c r="K103" s="309"/>
      <c r="L103" s="191"/>
      <c r="M103" s="194" t="str">
        <f t="shared" si="6"/>
        <v/>
      </c>
      <c r="N103" s="193" t="str">
        <f t="shared" si="7"/>
        <v/>
      </c>
      <c r="O103" s="195" t="str">
        <f t="shared" si="8"/>
        <v/>
      </c>
      <c r="P103" s="252"/>
      <c r="Q103" s="466"/>
      <c r="R103" s="467"/>
      <c r="S103" s="467"/>
      <c r="T103" s="468"/>
      <c r="U103" s="261"/>
      <c r="V103" s="261"/>
      <c r="W103" s="261"/>
      <c r="X103" s="262"/>
      <c r="Y103" s="261"/>
    </row>
    <row r="104" spans="2:25" ht="15.75" hidden="1" outlineLevel="1" thickBot="1" x14ac:dyDescent="0.3">
      <c r="B104" s="180"/>
      <c r="C104" s="357"/>
      <c r="D104" s="358"/>
      <c r="E104" s="185">
        <f t="shared" si="4"/>
        <v>0</v>
      </c>
      <c r="F104" s="359"/>
      <c r="G104" s="349"/>
      <c r="H104" s="206"/>
      <c r="I104" s="206"/>
      <c r="J104" s="297">
        <f t="shared" si="5"/>
        <v>0</v>
      </c>
      <c r="K104" s="309"/>
      <c r="L104" s="191"/>
      <c r="M104" s="194" t="str">
        <f t="shared" si="6"/>
        <v/>
      </c>
      <c r="N104" s="193" t="str">
        <f t="shared" si="7"/>
        <v/>
      </c>
      <c r="O104" s="195" t="str">
        <f t="shared" si="8"/>
        <v/>
      </c>
      <c r="P104" s="252"/>
      <c r="Q104" s="466"/>
      <c r="R104" s="467"/>
      <c r="S104" s="467"/>
      <c r="T104" s="468"/>
      <c r="U104" s="261"/>
      <c r="V104" s="261"/>
      <c r="W104" s="261"/>
      <c r="X104" s="262"/>
      <c r="Y104" s="261"/>
    </row>
    <row r="105" spans="2:25" ht="15.75" hidden="1" outlineLevel="1" thickBot="1" x14ac:dyDescent="0.3">
      <c r="B105" s="180"/>
      <c r="C105" s="357"/>
      <c r="D105" s="358"/>
      <c r="E105" s="185">
        <f t="shared" si="4"/>
        <v>0</v>
      </c>
      <c r="F105" s="359"/>
      <c r="G105" s="349"/>
      <c r="H105" s="206"/>
      <c r="I105" s="206"/>
      <c r="J105" s="297">
        <f t="shared" si="5"/>
        <v>0</v>
      </c>
      <c r="K105" s="309"/>
      <c r="L105" s="191"/>
      <c r="M105" s="194" t="str">
        <f t="shared" si="6"/>
        <v/>
      </c>
      <c r="N105" s="193" t="str">
        <f t="shared" si="7"/>
        <v/>
      </c>
      <c r="O105" s="195" t="str">
        <f t="shared" si="8"/>
        <v/>
      </c>
      <c r="P105" s="252"/>
      <c r="Q105" s="466"/>
      <c r="R105" s="467"/>
      <c r="S105" s="467"/>
      <c r="T105" s="468"/>
      <c r="U105" s="261"/>
      <c r="V105" s="261"/>
      <c r="W105" s="261"/>
      <c r="X105" s="262"/>
      <c r="Y105" s="261"/>
    </row>
    <row r="106" spans="2:25" ht="15.75" hidden="1" outlineLevel="1" thickBot="1" x14ac:dyDescent="0.3">
      <c r="B106" s="180"/>
      <c r="C106" s="357"/>
      <c r="D106" s="358"/>
      <c r="E106" s="185">
        <f t="shared" si="4"/>
        <v>0</v>
      </c>
      <c r="F106" s="359"/>
      <c r="G106" s="349"/>
      <c r="H106" s="206"/>
      <c r="I106" s="206"/>
      <c r="J106" s="297">
        <f t="shared" si="5"/>
        <v>0</v>
      </c>
      <c r="K106" s="309"/>
      <c r="L106" s="191"/>
      <c r="M106" s="194" t="str">
        <f t="shared" si="6"/>
        <v/>
      </c>
      <c r="N106" s="193" t="str">
        <f t="shared" si="7"/>
        <v/>
      </c>
      <c r="O106" s="195" t="str">
        <f t="shared" si="8"/>
        <v/>
      </c>
      <c r="P106" s="252"/>
      <c r="Q106" s="466"/>
      <c r="R106" s="467"/>
      <c r="S106" s="467"/>
      <c r="T106" s="468"/>
      <c r="U106" s="261"/>
      <c r="V106" s="261"/>
      <c r="W106" s="261"/>
      <c r="X106" s="262"/>
      <c r="Y106" s="261"/>
    </row>
    <row r="107" spans="2:25" ht="15.75" hidden="1" outlineLevel="1" thickBot="1" x14ac:dyDescent="0.3">
      <c r="B107" s="180"/>
      <c r="C107" s="357"/>
      <c r="D107" s="358"/>
      <c r="E107" s="185">
        <f t="shared" si="4"/>
        <v>0</v>
      </c>
      <c r="F107" s="359"/>
      <c r="G107" s="349"/>
      <c r="H107" s="206"/>
      <c r="I107" s="206"/>
      <c r="J107" s="297">
        <f t="shared" si="5"/>
        <v>0</v>
      </c>
      <c r="K107" s="309"/>
      <c r="L107" s="191"/>
      <c r="M107" s="194" t="str">
        <f t="shared" si="6"/>
        <v/>
      </c>
      <c r="N107" s="193" t="str">
        <f t="shared" si="7"/>
        <v/>
      </c>
      <c r="O107" s="195" t="str">
        <f t="shared" si="8"/>
        <v/>
      </c>
      <c r="P107" s="252"/>
      <c r="Q107" s="466"/>
      <c r="R107" s="467"/>
      <c r="S107" s="467"/>
      <c r="T107" s="468"/>
      <c r="U107" s="261"/>
      <c r="V107" s="261"/>
      <c r="W107" s="261"/>
      <c r="X107" s="262"/>
      <c r="Y107" s="261"/>
    </row>
    <row r="108" spans="2:25" ht="15.75" hidden="1" outlineLevel="1" thickBot="1" x14ac:dyDescent="0.3">
      <c r="B108" s="180"/>
      <c r="C108" s="357"/>
      <c r="D108" s="358"/>
      <c r="E108" s="185">
        <f t="shared" si="4"/>
        <v>0</v>
      </c>
      <c r="F108" s="359"/>
      <c r="G108" s="349"/>
      <c r="H108" s="206"/>
      <c r="I108" s="206"/>
      <c r="J108" s="297">
        <f t="shared" si="5"/>
        <v>0</v>
      </c>
      <c r="K108" s="309"/>
      <c r="L108" s="191"/>
      <c r="M108" s="194" t="str">
        <f t="shared" si="6"/>
        <v/>
      </c>
      <c r="N108" s="193" t="str">
        <f t="shared" si="7"/>
        <v/>
      </c>
      <c r="O108" s="195" t="str">
        <f t="shared" si="8"/>
        <v/>
      </c>
      <c r="P108" s="252"/>
      <c r="Q108" s="466"/>
      <c r="R108" s="467"/>
      <c r="S108" s="467"/>
      <c r="T108" s="468"/>
      <c r="U108" s="261"/>
      <c r="V108" s="261"/>
      <c r="W108" s="261"/>
      <c r="X108" s="262"/>
      <c r="Y108" s="261"/>
    </row>
    <row r="109" spans="2:25" ht="15.75" hidden="1" outlineLevel="1" thickBot="1" x14ac:dyDescent="0.3">
      <c r="B109" s="180"/>
      <c r="C109" s="357"/>
      <c r="D109" s="358"/>
      <c r="E109" s="185">
        <f t="shared" si="4"/>
        <v>0</v>
      </c>
      <c r="F109" s="359"/>
      <c r="G109" s="349"/>
      <c r="H109" s="206"/>
      <c r="I109" s="206"/>
      <c r="J109" s="297">
        <f t="shared" si="5"/>
        <v>0</v>
      </c>
      <c r="K109" s="309"/>
      <c r="L109" s="191"/>
      <c r="M109" s="194" t="str">
        <f t="shared" si="6"/>
        <v/>
      </c>
      <c r="N109" s="193" t="str">
        <f t="shared" si="7"/>
        <v/>
      </c>
      <c r="O109" s="195" t="str">
        <f t="shared" si="8"/>
        <v/>
      </c>
      <c r="P109" s="252"/>
      <c r="Q109" s="466"/>
      <c r="R109" s="467"/>
      <c r="S109" s="467"/>
      <c r="T109" s="468"/>
      <c r="U109" s="261"/>
      <c r="V109" s="261"/>
      <c r="W109" s="261"/>
      <c r="X109" s="262"/>
      <c r="Y109" s="261"/>
    </row>
    <row r="110" spans="2:25" ht="15.75" hidden="1" outlineLevel="1" thickBot="1" x14ac:dyDescent="0.3">
      <c r="B110" s="180"/>
      <c r="C110" s="357"/>
      <c r="D110" s="358"/>
      <c r="E110" s="185">
        <f t="shared" si="4"/>
        <v>0</v>
      </c>
      <c r="F110" s="359"/>
      <c r="G110" s="349"/>
      <c r="H110" s="206"/>
      <c r="I110" s="206"/>
      <c r="J110" s="297">
        <f t="shared" si="5"/>
        <v>0</v>
      </c>
      <c r="K110" s="309"/>
      <c r="L110" s="191"/>
      <c r="M110" s="194" t="str">
        <f t="shared" si="6"/>
        <v/>
      </c>
      <c r="N110" s="193" t="str">
        <f t="shared" si="7"/>
        <v/>
      </c>
      <c r="O110" s="195" t="str">
        <f t="shared" si="8"/>
        <v/>
      </c>
      <c r="P110" s="252"/>
      <c r="Q110" s="466"/>
      <c r="R110" s="467"/>
      <c r="S110" s="467"/>
      <c r="T110" s="468"/>
      <c r="U110" s="261"/>
      <c r="V110" s="261"/>
      <c r="W110" s="261"/>
      <c r="X110" s="262"/>
      <c r="Y110" s="261"/>
    </row>
    <row r="111" spans="2:25" ht="15.75" hidden="1" outlineLevel="1" thickBot="1" x14ac:dyDescent="0.3">
      <c r="B111" s="180"/>
      <c r="C111" s="357"/>
      <c r="D111" s="358"/>
      <c r="E111" s="185">
        <f t="shared" si="4"/>
        <v>0</v>
      </c>
      <c r="F111" s="359"/>
      <c r="G111" s="349"/>
      <c r="H111" s="206"/>
      <c r="I111" s="206"/>
      <c r="J111" s="297">
        <f t="shared" si="5"/>
        <v>0</v>
      </c>
      <c r="K111" s="309"/>
      <c r="L111" s="191"/>
      <c r="M111" s="194" t="str">
        <f t="shared" si="6"/>
        <v/>
      </c>
      <c r="N111" s="193" t="str">
        <f t="shared" si="7"/>
        <v/>
      </c>
      <c r="O111" s="195" t="str">
        <f t="shared" si="8"/>
        <v/>
      </c>
      <c r="P111" s="252"/>
      <c r="Q111" s="466"/>
      <c r="R111" s="467"/>
      <c r="S111" s="467"/>
      <c r="T111" s="468"/>
      <c r="U111" s="261"/>
      <c r="V111" s="261"/>
      <c r="W111" s="261"/>
      <c r="X111" s="262"/>
      <c r="Y111" s="261"/>
    </row>
    <row r="112" spans="2:25" ht="15.75" hidden="1" outlineLevel="1" thickBot="1" x14ac:dyDescent="0.3">
      <c r="B112" s="180"/>
      <c r="C112" s="357"/>
      <c r="D112" s="358"/>
      <c r="E112" s="185">
        <f t="shared" si="4"/>
        <v>0</v>
      </c>
      <c r="F112" s="359"/>
      <c r="G112" s="349"/>
      <c r="H112" s="206"/>
      <c r="I112" s="206"/>
      <c r="J112" s="297">
        <f t="shared" si="5"/>
        <v>0</v>
      </c>
      <c r="K112" s="309"/>
      <c r="L112" s="191"/>
      <c r="M112" s="194" t="str">
        <f t="shared" si="6"/>
        <v/>
      </c>
      <c r="N112" s="193" t="str">
        <f t="shared" si="7"/>
        <v/>
      </c>
      <c r="O112" s="195" t="str">
        <f t="shared" si="8"/>
        <v/>
      </c>
      <c r="P112" s="252"/>
      <c r="Q112" s="466"/>
      <c r="R112" s="467"/>
      <c r="S112" s="467"/>
      <c r="T112" s="468"/>
      <c r="U112" s="261"/>
      <c r="V112" s="261"/>
      <c r="W112" s="261"/>
      <c r="X112" s="262"/>
      <c r="Y112" s="261"/>
    </row>
    <row r="113" spans="2:25" ht="15.75" hidden="1" outlineLevel="1" thickBot="1" x14ac:dyDescent="0.3">
      <c r="B113" s="180"/>
      <c r="C113" s="357"/>
      <c r="D113" s="358"/>
      <c r="E113" s="185">
        <f t="shared" si="4"/>
        <v>0</v>
      </c>
      <c r="F113" s="359"/>
      <c r="G113" s="349"/>
      <c r="H113" s="206"/>
      <c r="I113" s="206"/>
      <c r="J113" s="297">
        <f t="shared" si="5"/>
        <v>0</v>
      </c>
      <c r="K113" s="309"/>
      <c r="L113" s="191"/>
      <c r="M113" s="194" t="str">
        <f t="shared" si="6"/>
        <v/>
      </c>
      <c r="N113" s="193" t="str">
        <f t="shared" si="7"/>
        <v/>
      </c>
      <c r="O113" s="195" t="str">
        <f t="shared" si="8"/>
        <v/>
      </c>
      <c r="P113" s="252"/>
      <c r="Q113" s="466"/>
      <c r="R113" s="467"/>
      <c r="S113" s="467"/>
      <c r="T113" s="468"/>
      <c r="U113" s="261"/>
      <c r="V113" s="261"/>
      <c r="W113" s="261"/>
      <c r="X113" s="262"/>
      <c r="Y113" s="261"/>
    </row>
    <row r="114" spans="2:25" ht="15.75" hidden="1" outlineLevel="1" thickBot="1" x14ac:dyDescent="0.3">
      <c r="B114" s="180"/>
      <c r="C114" s="357"/>
      <c r="D114" s="358"/>
      <c r="E114" s="185">
        <f t="shared" si="4"/>
        <v>0</v>
      </c>
      <c r="F114" s="359"/>
      <c r="G114" s="349"/>
      <c r="H114" s="206"/>
      <c r="I114" s="206"/>
      <c r="J114" s="297">
        <f t="shared" si="5"/>
        <v>0</v>
      </c>
      <c r="K114" s="309"/>
      <c r="L114" s="191"/>
      <c r="M114" s="194" t="str">
        <f t="shared" si="6"/>
        <v/>
      </c>
      <c r="N114" s="193" t="str">
        <f t="shared" si="7"/>
        <v/>
      </c>
      <c r="O114" s="195" t="str">
        <f t="shared" si="8"/>
        <v/>
      </c>
      <c r="P114" s="252"/>
      <c r="Q114" s="466"/>
      <c r="R114" s="467"/>
      <c r="S114" s="467"/>
      <c r="T114" s="468"/>
      <c r="U114" s="261"/>
      <c r="V114" s="261"/>
      <c r="W114" s="261"/>
      <c r="X114" s="262"/>
      <c r="Y114" s="261"/>
    </row>
    <row r="115" spans="2:25" ht="15.75" hidden="1" outlineLevel="1" thickBot="1" x14ac:dyDescent="0.3">
      <c r="B115" s="180"/>
      <c r="C115" s="357"/>
      <c r="D115" s="358"/>
      <c r="E115" s="185">
        <f t="shared" si="4"/>
        <v>0</v>
      </c>
      <c r="F115" s="359"/>
      <c r="G115" s="349"/>
      <c r="H115" s="206"/>
      <c r="I115" s="206"/>
      <c r="J115" s="297">
        <f t="shared" si="5"/>
        <v>0</v>
      </c>
      <c r="K115" s="309"/>
      <c r="L115" s="191"/>
      <c r="M115" s="194" t="str">
        <f t="shared" si="6"/>
        <v/>
      </c>
      <c r="N115" s="193" t="str">
        <f t="shared" si="7"/>
        <v/>
      </c>
      <c r="O115" s="195" t="str">
        <f t="shared" si="8"/>
        <v/>
      </c>
      <c r="P115" s="252"/>
      <c r="Q115" s="466"/>
      <c r="R115" s="467"/>
      <c r="S115" s="467"/>
      <c r="T115" s="468"/>
      <c r="U115" s="261"/>
      <c r="V115" s="261"/>
      <c r="W115" s="261"/>
      <c r="X115" s="262"/>
      <c r="Y115" s="261"/>
    </row>
    <row r="116" spans="2:25" ht="15.75" hidden="1" outlineLevel="1" thickBot="1" x14ac:dyDescent="0.3">
      <c r="B116" s="180"/>
      <c r="C116" s="357"/>
      <c r="D116" s="358"/>
      <c r="E116" s="185">
        <f t="shared" si="4"/>
        <v>0</v>
      </c>
      <c r="F116" s="359"/>
      <c r="G116" s="349"/>
      <c r="H116" s="206"/>
      <c r="I116" s="206"/>
      <c r="J116" s="297">
        <f t="shared" si="5"/>
        <v>0</v>
      </c>
      <c r="K116" s="309"/>
      <c r="L116" s="191"/>
      <c r="M116" s="194" t="str">
        <f t="shared" si="6"/>
        <v/>
      </c>
      <c r="N116" s="193" t="str">
        <f t="shared" si="7"/>
        <v/>
      </c>
      <c r="O116" s="195" t="str">
        <f t="shared" si="8"/>
        <v/>
      </c>
      <c r="P116" s="252"/>
      <c r="Q116" s="466"/>
      <c r="R116" s="467"/>
      <c r="S116" s="467"/>
      <c r="T116" s="468"/>
      <c r="U116" s="261"/>
      <c r="V116" s="261"/>
      <c r="W116" s="261"/>
      <c r="X116" s="262"/>
      <c r="Y116" s="261"/>
    </row>
    <row r="117" spans="2:25" ht="15.75" hidden="1" outlineLevel="1" thickBot="1" x14ac:dyDescent="0.3">
      <c r="B117" s="180"/>
      <c r="C117" s="357"/>
      <c r="D117" s="358"/>
      <c r="E117" s="185">
        <f t="shared" ref="E117:E180" si="9">C117+D117</f>
        <v>0</v>
      </c>
      <c r="F117" s="359"/>
      <c r="G117" s="349"/>
      <c r="H117" s="206"/>
      <c r="I117" s="206"/>
      <c r="J117" s="297">
        <f t="shared" ref="J117:J180" si="10">H117+I117</f>
        <v>0</v>
      </c>
      <c r="K117" s="309"/>
      <c r="L117" s="191"/>
      <c r="M117" s="194" t="str">
        <f t="shared" ref="M117:M180" si="11">IF(AND(G117&gt;0,OR(C117&gt;0,F117&gt;0,H117&gt;0)),(G117-F117)/G117,"")</f>
        <v/>
      </c>
      <c r="N117" s="193" t="str">
        <f t="shared" ref="N117:N180" si="12">IF(G117&gt;0,(IF(C117&gt;0,C117,H117))/G117,"")</f>
        <v/>
      </c>
      <c r="O117" s="195" t="str">
        <f t="shared" ref="O117:O180" si="13">IF(M117=100%,G117-(IF(C117&gt;0,C117,H117)),"")</f>
        <v/>
      </c>
      <c r="P117" s="252"/>
      <c r="Q117" s="466"/>
      <c r="R117" s="467"/>
      <c r="S117" s="467"/>
      <c r="T117" s="468"/>
      <c r="U117" s="261"/>
      <c r="V117" s="261"/>
      <c r="W117" s="261"/>
      <c r="X117" s="262"/>
      <c r="Y117" s="261"/>
    </row>
    <row r="118" spans="2:25" ht="15.75" hidden="1" outlineLevel="1" thickBot="1" x14ac:dyDescent="0.3">
      <c r="B118" s="180"/>
      <c r="C118" s="357"/>
      <c r="D118" s="358"/>
      <c r="E118" s="185">
        <f t="shared" si="9"/>
        <v>0</v>
      </c>
      <c r="F118" s="359"/>
      <c r="G118" s="349"/>
      <c r="H118" s="206"/>
      <c r="I118" s="206"/>
      <c r="J118" s="297">
        <f t="shared" si="10"/>
        <v>0</v>
      </c>
      <c r="K118" s="309"/>
      <c r="L118" s="191"/>
      <c r="M118" s="194" t="str">
        <f t="shared" si="11"/>
        <v/>
      </c>
      <c r="N118" s="193" t="str">
        <f t="shared" si="12"/>
        <v/>
      </c>
      <c r="O118" s="195" t="str">
        <f t="shared" si="13"/>
        <v/>
      </c>
      <c r="P118" s="252"/>
      <c r="Q118" s="466"/>
      <c r="R118" s="467"/>
      <c r="S118" s="467"/>
      <c r="T118" s="468"/>
      <c r="U118" s="261"/>
      <c r="V118" s="261"/>
      <c r="W118" s="261"/>
      <c r="X118" s="262"/>
      <c r="Y118" s="261"/>
    </row>
    <row r="119" spans="2:25" ht="15.75" hidden="1" outlineLevel="1" thickBot="1" x14ac:dyDescent="0.3">
      <c r="B119" s="180"/>
      <c r="C119" s="357"/>
      <c r="D119" s="358"/>
      <c r="E119" s="185">
        <f t="shared" si="9"/>
        <v>0</v>
      </c>
      <c r="F119" s="359"/>
      <c r="G119" s="349"/>
      <c r="H119" s="206"/>
      <c r="I119" s="206"/>
      <c r="J119" s="297">
        <f t="shared" si="10"/>
        <v>0</v>
      </c>
      <c r="K119" s="309"/>
      <c r="L119" s="191"/>
      <c r="M119" s="194" t="str">
        <f t="shared" si="11"/>
        <v/>
      </c>
      <c r="N119" s="193" t="str">
        <f t="shared" si="12"/>
        <v/>
      </c>
      <c r="O119" s="195" t="str">
        <f t="shared" si="13"/>
        <v/>
      </c>
      <c r="P119" s="252"/>
      <c r="Q119" s="466"/>
      <c r="R119" s="467"/>
      <c r="S119" s="467"/>
      <c r="T119" s="468"/>
      <c r="U119" s="261"/>
      <c r="V119" s="261"/>
      <c r="W119" s="261"/>
      <c r="X119" s="262"/>
      <c r="Y119" s="261"/>
    </row>
    <row r="120" spans="2:25" ht="15.75" hidden="1" outlineLevel="1" thickBot="1" x14ac:dyDescent="0.3">
      <c r="B120" s="180"/>
      <c r="C120" s="357"/>
      <c r="D120" s="358"/>
      <c r="E120" s="185">
        <f t="shared" si="9"/>
        <v>0</v>
      </c>
      <c r="F120" s="359"/>
      <c r="G120" s="349"/>
      <c r="H120" s="206"/>
      <c r="I120" s="206"/>
      <c r="J120" s="297">
        <f t="shared" si="10"/>
        <v>0</v>
      </c>
      <c r="K120" s="309"/>
      <c r="L120" s="191"/>
      <c r="M120" s="194" t="str">
        <f t="shared" si="11"/>
        <v/>
      </c>
      <c r="N120" s="193" t="str">
        <f t="shared" si="12"/>
        <v/>
      </c>
      <c r="O120" s="195" t="str">
        <f t="shared" si="13"/>
        <v/>
      </c>
      <c r="P120" s="252"/>
      <c r="Q120" s="466"/>
      <c r="R120" s="467"/>
      <c r="S120" s="467"/>
      <c r="T120" s="468"/>
      <c r="U120" s="261"/>
      <c r="V120" s="261"/>
      <c r="W120" s="261"/>
      <c r="X120" s="262"/>
      <c r="Y120" s="261"/>
    </row>
    <row r="121" spans="2:25" ht="15.75" hidden="1" outlineLevel="1" thickBot="1" x14ac:dyDescent="0.3">
      <c r="B121" s="180"/>
      <c r="C121" s="357"/>
      <c r="D121" s="358"/>
      <c r="E121" s="185">
        <f t="shared" si="9"/>
        <v>0</v>
      </c>
      <c r="F121" s="359"/>
      <c r="G121" s="349"/>
      <c r="H121" s="206"/>
      <c r="I121" s="206"/>
      <c r="J121" s="297">
        <f t="shared" si="10"/>
        <v>0</v>
      </c>
      <c r="K121" s="309"/>
      <c r="L121" s="191"/>
      <c r="M121" s="194" t="str">
        <f t="shared" si="11"/>
        <v/>
      </c>
      <c r="N121" s="193" t="str">
        <f t="shared" si="12"/>
        <v/>
      </c>
      <c r="O121" s="195" t="str">
        <f t="shared" si="13"/>
        <v/>
      </c>
      <c r="P121" s="252"/>
      <c r="Q121" s="466"/>
      <c r="R121" s="467"/>
      <c r="S121" s="467"/>
      <c r="T121" s="468"/>
      <c r="U121" s="261"/>
      <c r="V121" s="261"/>
      <c r="W121" s="261"/>
      <c r="X121" s="262"/>
      <c r="Y121" s="261"/>
    </row>
    <row r="122" spans="2:25" ht="15.75" hidden="1" outlineLevel="1" thickBot="1" x14ac:dyDescent="0.3">
      <c r="B122" s="180"/>
      <c r="C122" s="357"/>
      <c r="D122" s="358"/>
      <c r="E122" s="185">
        <f t="shared" si="9"/>
        <v>0</v>
      </c>
      <c r="F122" s="359"/>
      <c r="G122" s="349"/>
      <c r="H122" s="206"/>
      <c r="I122" s="206"/>
      <c r="J122" s="297">
        <f t="shared" si="10"/>
        <v>0</v>
      </c>
      <c r="K122" s="309"/>
      <c r="L122" s="191"/>
      <c r="M122" s="194" t="str">
        <f t="shared" si="11"/>
        <v/>
      </c>
      <c r="N122" s="193" t="str">
        <f t="shared" si="12"/>
        <v/>
      </c>
      <c r="O122" s="195" t="str">
        <f t="shared" si="13"/>
        <v/>
      </c>
      <c r="P122" s="252"/>
      <c r="Q122" s="466"/>
      <c r="R122" s="467"/>
      <c r="S122" s="467"/>
      <c r="T122" s="468"/>
      <c r="U122" s="261"/>
      <c r="V122" s="261"/>
      <c r="W122" s="261"/>
      <c r="X122" s="262"/>
      <c r="Y122" s="261"/>
    </row>
    <row r="123" spans="2:25" ht="15.75" hidden="1" outlineLevel="1" thickBot="1" x14ac:dyDescent="0.3">
      <c r="B123" s="180"/>
      <c r="C123" s="357"/>
      <c r="D123" s="358"/>
      <c r="E123" s="185">
        <f t="shared" si="9"/>
        <v>0</v>
      </c>
      <c r="F123" s="359"/>
      <c r="G123" s="349"/>
      <c r="H123" s="206"/>
      <c r="I123" s="206"/>
      <c r="J123" s="297">
        <f t="shared" si="10"/>
        <v>0</v>
      </c>
      <c r="K123" s="309"/>
      <c r="L123" s="191"/>
      <c r="M123" s="194" t="str">
        <f t="shared" si="11"/>
        <v/>
      </c>
      <c r="N123" s="193" t="str">
        <f t="shared" si="12"/>
        <v/>
      </c>
      <c r="O123" s="195" t="str">
        <f t="shared" si="13"/>
        <v/>
      </c>
      <c r="P123" s="252"/>
      <c r="Q123" s="466"/>
      <c r="R123" s="467"/>
      <c r="S123" s="467"/>
      <c r="T123" s="468"/>
      <c r="U123" s="261"/>
      <c r="V123" s="261"/>
      <c r="W123" s="261"/>
      <c r="X123" s="262"/>
      <c r="Y123" s="261"/>
    </row>
    <row r="124" spans="2:25" ht="15.75" hidden="1" outlineLevel="1" thickBot="1" x14ac:dyDescent="0.3">
      <c r="B124" s="180"/>
      <c r="C124" s="357"/>
      <c r="D124" s="358"/>
      <c r="E124" s="185">
        <f t="shared" si="9"/>
        <v>0</v>
      </c>
      <c r="F124" s="359"/>
      <c r="G124" s="349"/>
      <c r="H124" s="206"/>
      <c r="I124" s="206"/>
      <c r="J124" s="297">
        <f t="shared" si="10"/>
        <v>0</v>
      </c>
      <c r="K124" s="309"/>
      <c r="L124" s="191"/>
      <c r="M124" s="194" t="str">
        <f t="shared" si="11"/>
        <v/>
      </c>
      <c r="N124" s="193" t="str">
        <f t="shared" si="12"/>
        <v/>
      </c>
      <c r="O124" s="195" t="str">
        <f t="shared" si="13"/>
        <v/>
      </c>
      <c r="P124" s="252"/>
      <c r="Q124" s="466"/>
      <c r="R124" s="467"/>
      <c r="S124" s="467"/>
      <c r="T124" s="468"/>
      <c r="U124" s="261"/>
      <c r="V124" s="261"/>
      <c r="W124" s="261"/>
      <c r="X124" s="262"/>
      <c r="Y124" s="261"/>
    </row>
    <row r="125" spans="2:25" ht="15.75" hidden="1" outlineLevel="1" thickBot="1" x14ac:dyDescent="0.3">
      <c r="B125" s="180"/>
      <c r="C125" s="357"/>
      <c r="D125" s="358"/>
      <c r="E125" s="185">
        <f t="shared" si="9"/>
        <v>0</v>
      </c>
      <c r="F125" s="359"/>
      <c r="G125" s="349"/>
      <c r="H125" s="206"/>
      <c r="I125" s="206"/>
      <c r="J125" s="297">
        <f t="shared" si="10"/>
        <v>0</v>
      </c>
      <c r="K125" s="309"/>
      <c r="L125" s="191"/>
      <c r="M125" s="194" t="str">
        <f t="shared" si="11"/>
        <v/>
      </c>
      <c r="N125" s="193" t="str">
        <f t="shared" si="12"/>
        <v/>
      </c>
      <c r="O125" s="195" t="str">
        <f t="shared" si="13"/>
        <v/>
      </c>
      <c r="P125" s="252"/>
      <c r="Q125" s="466"/>
      <c r="R125" s="467"/>
      <c r="S125" s="467"/>
      <c r="T125" s="468"/>
      <c r="U125" s="261"/>
      <c r="V125" s="261"/>
      <c r="W125" s="261"/>
      <c r="X125" s="262"/>
      <c r="Y125" s="261"/>
    </row>
    <row r="126" spans="2:25" ht="15.75" hidden="1" outlineLevel="1" thickBot="1" x14ac:dyDescent="0.3">
      <c r="B126" s="180"/>
      <c r="C126" s="357"/>
      <c r="D126" s="358"/>
      <c r="E126" s="185">
        <f t="shared" si="9"/>
        <v>0</v>
      </c>
      <c r="F126" s="359"/>
      <c r="G126" s="349"/>
      <c r="H126" s="206"/>
      <c r="I126" s="206"/>
      <c r="J126" s="297">
        <f t="shared" si="10"/>
        <v>0</v>
      </c>
      <c r="K126" s="309"/>
      <c r="L126" s="191"/>
      <c r="M126" s="194" t="str">
        <f t="shared" si="11"/>
        <v/>
      </c>
      <c r="N126" s="193" t="str">
        <f t="shared" si="12"/>
        <v/>
      </c>
      <c r="O126" s="195" t="str">
        <f t="shared" si="13"/>
        <v/>
      </c>
      <c r="P126" s="252"/>
      <c r="Q126" s="466"/>
      <c r="R126" s="467"/>
      <c r="S126" s="467"/>
      <c r="T126" s="468"/>
      <c r="U126" s="261"/>
      <c r="V126" s="261"/>
      <c r="W126" s="261"/>
      <c r="X126" s="262"/>
      <c r="Y126" s="261"/>
    </row>
    <row r="127" spans="2:25" ht="15.75" hidden="1" outlineLevel="1" thickBot="1" x14ac:dyDescent="0.3">
      <c r="B127" s="180"/>
      <c r="C127" s="357"/>
      <c r="D127" s="358"/>
      <c r="E127" s="185">
        <f t="shared" si="9"/>
        <v>0</v>
      </c>
      <c r="F127" s="359"/>
      <c r="G127" s="349"/>
      <c r="H127" s="206"/>
      <c r="I127" s="206"/>
      <c r="J127" s="297">
        <f t="shared" si="10"/>
        <v>0</v>
      </c>
      <c r="K127" s="309"/>
      <c r="L127" s="191"/>
      <c r="M127" s="194" t="str">
        <f t="shared" si="11"/>
        <v/>
      </c>
      <c r="N127" s="193" t="str">
        <f t="shared" si="12"/>
        <v/>
      </c>
      <c r="O127" s="195" t="str">
        <f t="shared" si="13"/>
        <v/>
      </c>
      <c r="P127" s="252"/>
      <c r="Q127" s="466"/>
      <c r="R127" s="467"/>
      <c r="S127" s="467"/>
      <c r="T127" s="468"/>
      <c r="U127" s="261"/>
      <c r="V127" s="261"/>
      <c r="W127" s="261"/>
      <c r="X127" s="262"/>
      <c r="Y127" s="261"/>
    </row>
    <row r="128" spans="2:25" ht="15.75" hidden="1" outlineLevel="1" thickBot="1" x14ac:dyDescent="0.3">
      <c r="B128" s="180"/>
      <c r="C128" s="357"/>
      <c r="D128" s="358"/>
      <c r="E128" s="185">
        <f t="shared" si="9"/>
        <v>0</v>
      </c>
      <c r="F128" s="359"/>
      <c r="G128" s="349"/>
      <c r="H128" s="206"/>
      <c r="I128" s="206"/>
      <c r="J128" s="297">
        <f t="shared" si="10"/>
        <v>0</v>
      </c>
      <c r="K128" s="309"/>
      <c r="L128" s="191"/>
      <c r="M128" s="194" t="str">
        <f t="shared" si="11"/>
        <v/>
      </c>
      <c r="N128" s="193" t="str">
        <f t="shared" si="12"/>
        <v/>
      </c>
      <c r="O128" s="195" t="str">
        <f t="shared" si="13"/>
        <v/>
      </c>
      <c r="P128" s="252"/>
      <c r="Q128" s="466"/>
      <c r="R128" s="467"/>
      <c r="S128" s="467"/>
      <c r="T128" s="468"/>
      <c r="U128" s="261"/>
      <c r="V128" s="261"/>
      <c r="W128" s="261"/>
      <c r="X128" s="262"/>
      <c r="Y128" s="261"/>
    </row>
    <row r="129" spans="2:25" ht="15.75" hidden="1" outlineLevel="1" thickBot="1" x14ac:dyDescent="0.3">
      <c r="B129" s="180"/>
      <c r="C129" s="357"/>
      <c r="D129" s="358"/>
      <c r="E129" s="185">
        <f t="shared" si="9"/>
        <v>0</v>
      </c>
      <c r="F129" s="359"/>
      <c r="G129" s="349"/>
      <c r="H129" s="206"/>
      <c r="I129" s="206"/>
      <c r="J129" s="297">
        <f t="shared" si="10"/>
        <v>0</v>
      </c>
      <c r="K129" s="309"/>
      <c r="L129" s="191"/>
      <c r="M129" s="194" t="str">
        <f t="shared" si="11"/>
        <v/>
      </c>
      <c r="N129" s="193" t="str">
        <f t="shared" si="12"/>
        <v/>
      </c>
      <c r="O129" s="195" t="str">
        <f t="shared" si="13"/>
        <v/>
      </c>
      <c r="P129" s="252"/>
      <c r="Q129" s="466"/>
      <c r="R129" s="467"/>
      <c r="S129" s="467"/>
      <c r="T129" s="468"/>
      <c r="U129" s="261"/>
      <c r="V129" s="261"/>
      <c r="W129" s="261"/>
      <c r="X129" s="262"/>
      <c r="Y129" s="261"/>
    </row>
    <row r="130" spans="2:25" ht="15.75" hidden="1" outlineLevel="1" thickBot="1" x14ac:dyDescent="0.3">
      <c r="B130" s="180"/>
      <c r="C130" s="357"/>
      <c r="D130" s="358"/>
      <c r="E130" s="185">
        <f t="shared" si="9"/>
        <v>0</v>
      </c>
      <c r="F130" s="359"/>
      <c r="G130" s="349"/>
      <c r="H130" s="206"/>
      <c r="I130" s="206"/>
      <c r="J130" s="297">
        <f t="shared" si="10"/>
        <v>0</v>
      </c>
      <c r="K130" s="309"/>
      <c r="L130" s="191"/>
      <c r="M130" s="194" t="str">
        <f t="shared" si="11"/>
        <v/>
      </c>
      <c r="N130" s="193" t="str">
        <f t="shared" si="12"/>
        <v/>
      </c>
      <c r="O130" s="195" t="str">
        <f t="shared" si="13"/>
        <v/>
      </c>
      <c r="P130" s="252"/>
      <c r="Q130" s="466"/>
      <c r="R130" s="467"/>
      <c r="S130" s="467"/>
      <c r="T130" s="468"/>
      <c r="U130" s="261"/>
      <c r="V130" s="261"/>
      <c r="W130" s="261"/>
      <c r="X130" s="262"/>
      <c r="Y130" s="261"/>
    </row>
    <row r="131" spans="2:25" ht="15.75" hidden="1" outlineLevel="1" thickBot="1" x14ac:dyDescent="0.3">
      <c r="B131" s="180"/>
      <c r="C131" s="357"/>
      <c r="D131" s="358"/>
      <c r="E131" s="185">
        <f t="shared" si="9"/>
        <v>0</v>
      </c>
      <c r="F131" s="359"/>
      <c r="G131" s="349"/>
      <c r="H131" s="206"/>
      <c r="I131" s="206"/>
      <c r="J131" s="297">
        <f t="shared" si="10"/>
        <v>0</v>
      </c>
      <c r="K131" s="309"/>
      <c r="L131" s="191"/>
      <c r="M131" s="194" t="str">
        <f t="shared" si="11"/>
        <v/>
      </c>
      <c r="N131" s="193" t="str">
        <f t="shared" si="12"/>
        <v/>
      </c>
      <c r="O131" s="195" t="str">
        <f t="shared" si="13"/>
        <v/>
      </c>
      <c r="P131" s="252"/>
      <c r="Q131" s="466"/>
      <c r="R131" s="467"/>
      <c r="S131" s="467"/>
      <c r="T131" s="468"/>
      <c r="U131" s="261"/>
      <c r="V131" s="261"/>
      <c r="W131" s="261"/>
      <c r="X131" s="262"/>
      <c r="Y131" s="261"/>
    </row>
    <row r="132" spans="2:25" ht="15.75" hidden="1" outlineLevel="1" thickBot="1" x14ac:dyDescent="0.3">
      <c r="B132" s="180"/>
      <c r="C132" s="357"/>
      <c r="D132" s="358"/>
      <c r="E132" s="185">
        <f t="shared" si="9"/>
        <v>0</v>
      </c>
      <c r="F132" s="359"/>
      <c r="G132" s="349"/>
      <c r="H132" s="206"/>
      <c r="I132" s="206"/>
      <c r="J132" s="297">
        <f t="shared" si="10"/>
        <v>0</v>
      </c>
      <c r="K132" s="309"/>
      <c r="L132" s="191"/>
      <c r="M132" s="194" t="str">
        <f t="shared" si="11"/>
        <v/>
      </c>
      <c r="N132" s="193" t="str">
        <f t="shared" si="12"/>
        <v/>
      </c>
      <c r="O132" s="195" t="str">
        <f t="shared" si="13"/>
        <v/>
      </c>
      <c r="P132" s="252"/>
      <c r="Q132" s="466"/>
      <c r="R132" s="467"/>
      <c r="S132" s="467"/>
      <c r="T132" s="468"/>
      <c r="U132" s="261"/>
      <c r="V132" s="261"/>
      <c r="W132" s="261"/>
      <c r="X132" s="262"/>
      <c r="Y132" s="261"/>
    </row>
    <row r="133" spans="2:25" ht="15.75" hidden="1" outlineLevel="1" thickBot="1" x14ac:dyDescent="0.3">
      <c r="B133" s="180"/>
      <c r="C133" s="357"/>
      <c r="D133" s="358"/>
      <c r="E133" s="185">
        <f t="shared" si="9"/>
        <v>0</v>
      </c>
      <c r="F133" s="359"/>
      <c r="G133" s="349"/>
      <c r="H133" s="206"/>
      <c r="I133" s="206"/>
      <c r="J133" s="297">
        <f t="shared" si="10"/>
        <v>0</v>
      </c>
      <c r="K133" s="309"/>
      <c r="L133" s="191"/>
      <c r="M133" s="194" t="str">
        <f t="shared" si="11"/>
        <v/>
      </c>
      <c r="N133" s="193" t="str">
        <f t="shared" si="12"/>
        <v/>
      </c>
      <c r="O133" s="195" t="str">
        <f t="shared" si="13"/>
        <v/>
      </c>
      <c r="P133" s="252"/>
      <c r="Q133" s="466"/>
      <c r="R133" s="467"/>
      <c r="S133" s="467"/>
      <c r="T133" s="468"/>
      <c r="U133" s="261"/>
      <c r="V133" s="261"/>
      <c r="W133" s="261"/>
      <c r="X133" s="262"/>
      <c r="Y133" s="261"/>
    </row>
    <row r="134" spans="2:25" ht="15.75" hidden="1" outlineLevel="1" thickBot="1" x14ac:dyDescent="0.3">
      <c r="B134" s="180"/>
      <c r="C134" s="357"/>
      <c r="D134" s="358"/>
      <c r="E134" s="185">
        <f t="shared" si="9"/>
        <v>0</v>
      </c>
      <c r="F134" s="359"/>
      <c r="G134" s="349"/>
      <c r="H134" s="206"/>
      <c r="I134" s="206"/>
      <c r="J134" s="297">
        <f t="shared" si="10"/>
        <v>0</v>
      </c>
      <c r="K134" s="309"/>
      <c r="L134" s="191"/>
      <c r="M134" s="194" t="str">
        <f t="shared" si="11"/>
        <v/>
      </c>
      <c r="N134" s="193" t="str">
        <f t="shared" si="12"/>
        <v/>
      </c>
      <c r="O134" s="195" t="str">
        <f t="shared" si="13"/>
        <v/>
      </c>
      <c r="P134" s="252"/>
      <c r="Q134" s="466"/>
      <c r="R134" s="467"/>
      <c r="S134" s="467"/>
      <c r="T134" s="468"/>
      <c r="U134" s="261"/>
      <c r="V134" s="261"/>
      <c r="W134" s="261"/>
      <c r="X134" s="262"/>
      <c r="Y134" s="261"/>
    </row>
    <row r="135" spans="2:25" ht="15.75" hidden="1" outlineLevel="1" thickBot="1" x14ac:dyDescent="0.3">
      <c r="B135" s="180"/>
      <c r="C135" s="357"/>
      <c r="D135" s="358"/>
      <c r="E135" s="185">
        <f t="shared" si="9"/>
        <v>0</v>
      </c>
      <c r="F135" s="359"/>
      <c r="G135" s="349"/>
      <c r="H135" s="206"/>
      <c r="I135" s="206"/>
      <c r="J135" s="297">
        <f t="shared" si="10"/>
        <v>0</v>
      </c>
      <c r="K135" s="309"/>
      <c r="L135" s="191"/>
      <c r="M135" s="194" t="str">
        <f t="shared" si="11"/>
        <v/>
      </c>
      <c r="N135" s="193" t="str">
        <f t="shared" si="12"/>
        <v/>
      </c>
      <c r="O135" s="195" t="str">
        <f t="shared" si="13"/>
        <v/>
      </c>
      <c r="P135" s="252"/>
      <c r="Q135" s="466"/>
      <c r="R135" s="467"/>
      <c r="S135" s="467"/>
      <c r="T135" s="468"/>
      <c r="U135" s="261"/>
      <c r="V135" s="261"/>
      <c r="W135" s="261"/>
      <c r="X135" s="262"/>
      <c r="Y135" s="261"/>
    </row>
    <row r="136" spans="2:25" ht="15.75" hidden="1" outlineLevel="1" thickBot="1" x14ac:dyDescent="0.3">
      <c r="B136" s="180"/>
      <c r="C136" s="357"/>
      <c r="D136" s="358"/>
      <c r="E136" s="185">
        <f t="shared" si="9"/>
        <v>0</v>
      </c>
      <c r="F136" s="359"/>
      <c r="G136" s="349"/>
      <c r="H136" s="206"/>
      <c r="I136" s="206"/>
      <c r="J136" s="297">
        <f t="shared" si="10"/>
        <v>0</v>
      </c>
      <c r="K136" s="309"/>
      <c r="L136" s="191"/>
      <c r="M136" s="194" t="str">
        <f t="shared" si="11"/>
        <v/>
      </c>
      <c r="N136" s="193" t="str">
        <f t="shared" si="12"/>
        <v/>
      </c>
      <c r="O136" s="195" t="str">
        <f t="shared" si="13"/>
        <v/>
      </c>
      <c r="P136" s="252"/>
      <c r="Q136" s="466"/>
      <c r="R136" s="467"/>
      <c r="S136" s="467"/>
      <c r="T136" s="468"/>
      <c r="U136" s="261"/>
      <c r="V136" s="261"/>
      <c r="W136" s="261"/>
      <c r="X136" s="262"/>
      <c r="Y136" s="261"/>
    </row>
    <row r="137" spans="2:25" ht="15.75" hidden="1" outlineLevel="1" thickBot="1" x14ac:dyDescent="0.3">
      <c r="B137" s="180"/>
      <c r="C137" s="357"/>
      <c r="D137" s="358"/>
      <c r="E137" s="185">
        <f t="shared" si="9"/>
        <v>0</v>
      </c>
      <c r="F137" s="359"/>
      <c r="G137" s="349"/>
      <c r="H137" s="206"/>
      <c r="I137" s="206"/>
      <c r="J137" s="297">
        <f t="shared" si="10"/>
        <v>0</v>
      </c>
      <c r="K137" s="309"/>
      <c r="L137" s="191"/>
      <c r="M137" s="194" t="str">
        <f t="shared" si="11"/>
        <v/>
      </c>
      <c r="N137" s="193" t="str">
        <f t="shared" si="12"/>
        <v/>
      </c>
      <c r="O137" s="195" t="str">
        <f t="shared" si="13"/>
        <v/>
      </c>
      <c r="P137" s="252"/>
      <c r="Q137" s="466"/>
      <c r="R137" s="467"/>
      <c r="S137" s="467"/>
      <c r="T137" s="468"/>
      <c r="U137" s="261"/>
      <c r="V137" s="261"/>
      <c r="W137" s="261"/>
      <c r="X137" s="262"/>
      <c r="Y137" s="261"/>
    </row>
    <row r="138" spans="2:25" ht="15.75" hidden="1" outlineLevel="1" thickBot="1" x14ac:dyDescent="0.3">
      <c r="B138" s="180"/>
      <c r="C138" s="357"/>
      <c r="D138" s="358"/>
      <c r="E138" s="185">
        <f t="shared" si="9"/>
        <v>0</v>
      </c>
      <c r="F138" s="359"/>
      <c r="G138" s="349"/>
      <c r="H138" s="206"/>
      <c r="I138" s="206"/>
      <c r="J138" s="297">
        <f t="shared" si="10"/>
        <v>0</v>
      </c>
      <c r="K138" s="309"/>
      <c r="L138" s="191"/>
      <c r="M138" s="194" t="str">
        <f t="shared" si="11"/>
        <v/>
      </c>
      <c r="N138" s="193" t="str">
        <f t="shared" si="12"/>
        <v/>
      </c>
      <c r="O138" s="195" t="str">
        <f t="shared" si="13"/>
        <v/>
      </c>
      <c r="P138" s="252"/>
      <c r="Q138" s="466"/>
      <c r="R138" s="467"/>
      <c r="S138" s="467"/>
      <c r="T138" s="468"/>
      <c r="U138" s="261"/>
      <c r="V138" s="261"/>
      <c r="W138" s="261"/>
      <c r="X138" s="262"/>
      <c r="Y138" s="261"/>
    </row>
    <row r="139" spans="2:25" ht="15.75" hidden="1" outlineLevel="1" thickBot="1" x14ac:dyDescent="0.3">
      <c r="B139" s="180"/>
      <c r="C139" s="357"/>
      <c r="D139" s="358"/>
      <c r="E139" s="185">
        <f t="shared" si="9"/>
        <v>0</v>
      </c>
      <c r="F139" s="359"/>
      <c r="G139" s="349"/>
      <c r="H139" s="206"/>
      <c r="I139" s="206"/>
      <c r="J139" s="297">
        <f t="shared" si="10"/>
        <v>0</v>
      </c>
      <c r="K139" s="309"/>
      <c r="L139" s="191"/>
      <c r="M139" s="194" t="str">
        <f t="shared" si="11"/>
        <v/>
      </c>
      <c r="N139" s="193" t="str">
        <f t="shared" si="12"/>
        <v/>
      </c>
      <c r="O139" s="195" t="str">
        <f t="shared" si="13"/>
        <v/>
      </c>
      <c r="P139" s="252"/>
      <c r="Q139" s="466"/>
      <c r="R139" s="467"/>
      <c r="S139" s="467"/>
      <c r="T139" s="468"/>
      <c r="U139" s="261"/>
      <c r="V139" s="261"/>
      <c r="W139" s="261"/>
      <c r="X139" s="262"/>
      <c r="Y139" s="261"/>
    </row>
    <row r="140" spans="2:25" ht="15.75" hidden="1" outlineLevel="1" thickBot="1" x14ac:dyDescent="0.3">
      <c r="B140" s="180"/>
      <c r="C140" s="357"/>
      <c r="D140" s="358"/>
      <c r="E140" s="185">
        <f t="shared" si="9"/>
        <v>0</v>
      </c>
      <c r="F140" s="359"/>
      <c r="G140" s="349"/>
      <c r="H140" s="206"/>
      <c r="I140" s="206"/>
      <c r="J140" s="297">
        <f t="shared" si="10"/>
        <v>0</v>
      </c>
      <c r="K140" s="309"/>
      <c r="L140" s="191"/>
      <c r="M140" s="194" t="str">
        <f t="shared" si="11"/>
        <v/>
      </c>
      <c r="N140" s="193" t="str">
        <f t="shared" si="12"/>
        <v/>
      </c>
      <c r="O140" s="195" t="str">
        <f t="shared" si="13"/>
        <v/>
      </c>
      <c r="P140" s="252"/>
      <c r="Q140" s="466"/>
      <c r="R140" s="467"/>
      <c r="S140" s="467"/>
      <c r="T140" s="468"/>
      <c r="U140" s="261"/>
      <c r="V140" s="261"/>
      <c r="W140" s="261"/>
      <c r="X140" s="262"/>
      <c r="Y140" s="261"/>
    </row>
    <row r="141" spans="2:25" ht="15.75" hidden="1" outlineLevel="1" thickBot="1" x14ac:dyDescent="0.3">
      <c r="B141" s="180"/>
      <c r="C141" s="357"/>
      <c r="D141" s="358"/>
      <c r="E141" s="185">
        <f t="shared" si="9"/>
        <v>0</v>
      </c>
      <c r="F141" s="359"/>
      <c r="G141" s="349"/>
      <c r="H141" s="206"/>
      <c r="I141" s="206"/>
      <c r="J141" s="297">
        <f t="shared" si="10"/>
        <v>0</v>
      </c>
      <c r="K141" s="309"/>
      <c r="L141" s="191"/>
      <c r="M141" s="194" t="str">
        <f t="shared" si="11"/>
        <v/>
      </c>
      <c r="N141" s="193" t="str">
        <f t="shared" si="12"/>
        <v/>
      </c>
      <c r="O141" s="195" t="str">
        <f t="shared" si="13"/>
        <v/>
      </c>
      <c r="P141" s="252"/>
      <c r="Q141" s="466"/>
      <c r="R141" s="467"/>
      <c r="S141" s="467"/>
      <c r="T141" s="468"/>
      <c r="U141" s="261"/>
      <c r="V141" s="261"/>
      <c r="W141" s="261"/>
      <c r="X141" s="262"/>
      <c r="Y141" s="261"/>
    </row>
    <row r="142" spans="2:25" ht="15.75" hidden="1" outlineLevel="1" thickBot="1" x14ac:dyDescent="0.3">
      <c r="B142" s="180"/>
      <c r="C142" s="357"/>
      <c r="D142" s="358"/>
      <c r="E142" s="185">
        <f t="shared" si="9"/>
        <v>0</v>
      </c>
      <c r="F142" s="359"/>
      <c r="G142" s="349"/>
      <c r="H142" s="206"/>
      <c r="I142" s="206"/>
      <c r="J142" s="297">
        <f t="shared" si="10"/>
        <v>0</v>
      </c>
      <c r="K142" s="309"/>
      <c r="L142" s="191"/>
      <c r="M142" s="194" t="str">
        <f t="shared" si="11"/>
        <v/>
      </c>
      <c r="N142" s="193" t="str">
        <f t="shared" si="12"/>
        <v/>
      </c>
      <c r="O142" s="195" t="str">
        <f t="shared" si="13"/>
        <v/>
      </c>
      <c r="P142" s="252"/>
      <c r="Q142" s="466"/>
      <c r="R142" s="467"/>
      <c r="S142" s="467"/>
      <c r="T142" s="468"/>
      <c r="U142" s="261"/>
      <c r="V142" s="261"/>
      <c r="W142" s="261"/>
      <c r="X142" s="262"/>
      <c r="Y142" s="261"/>
    </row>
    <row r="143" spans="2:25" ht="15.75" hidden="1" outlineLevel="1" thickBot="1" x14ac:dyDescent="0.3">
      <c r="B143" s="180"/>
      <c r="C143" s="357"/>
      <c r="D143" s="358"/>
      <c r="E143" s="185">
        <f t="shared" si="9"/>
        <v>0</v>
      </c>
      <c r="F143" s="359"/>
      <c r="G143" s="349"/>
      <c r="H143" s="206"/>
      <c r="I143" s="206"/>
      <c r="J143" s="297">
        <f t="shared" si="10"/>
        <v>0</v>
      </c>
      <c r="K143" s="309"/>
      <c r="L143" s="191"/>
      <c r="M143" s="194" t="str">
        <f t="shared" si="11"/>
        <v/>
      </c>
      <c r="N143" s="193" t="str">
        <f t="shared" si="12"/>
        <v/>
      </c>
      <c r="O143" s="195" t="str">
        <f t="shared" si="13"/>
        <v/>
      </c>
      <c r="P143" s="252"/>
      <c r="Q143" s="466"/>
      <c r="R143" s="467"/>
      <c r="S143" s="467"/>
      <c r="T143" s="468"/>
      <c r="U143" s="261"/>
      <c r="V143" s="261"/>
      <c r="W143" s="261"/>
      <c r="X143" s="262"/>
      <c r="Y143" s="261"/>
    </row>
    <row r="144" spans="2:25" ht="15.75" hidden="1" outlineLevel="1" thickBot="1" x14ac:dyDescent="0.3">
      <c r="B144" s="180"/>
      <c r="C144" s="357"/>
      <c r="D144" s="358"/>
      <c r="E144" s="185">
        <f t="shared" si="9"/>
        <v>0</v>
      </c>
      <c r="F144" s="359"/>
      <c r="G144" s="349"/>
      <c r="H144" s="206"/>
      <c r="I144" s="206"/>
      <c r="J144" s="297">
        <f t="shared" si="10"/>
        <v>0</v>
      </c>
      <c r="K144" s="309"/>
      <c r="L144" s="191"/>
      <c r="M144" s="194" t="str">
        <f t="shared" si="11"/>
        <v/>
      </c>
      <c r="N144" s="193" t="str">
        <f t="shared" si="12"/>
        <v/>
      </c>
      <c r="O144" s="195" t="str">
        <f t="shared" si="13"/>
        <v/>
      </c>
      <c r="P144" s="252"/>
      <c r="Q144" s="466"/>
      <c r="R144" s="467"/>
      <c r="S144" s="467"/>
      <c r="T144" s="468"/>
      <c r="U144" s="261"/>
      <c r="V144" s="261"/>
      <c r="W144" s="261"/>
      <c r="X144" s="262"/>
      <c r="Y144" s="261"/>
    </row>
    <row r="145" spans="2:25" ht="15.75" hidden="1" outlineLevel="1" thickBot="1" x14ac:dyDescent="0.3">
      <c r="B145" s="180"/>
      <c r="C145" s="357"/>
      <c r="D145" s="358"/>
      <c r="E145" s="185">
        <f t="shared" si="9"/>
        <v>0</v>
      </c>
      <c r="F145" s="359"/>
      <c r="G145" s="349"/>
      <c r="H145" s="206"/>
      <c r="I145" s="206"/>
      <c r="J145" s="297">
        <f t="shared" si="10"/>
        <v>0</v>
      </c>
      <c r="K145" s="309"/>
      <c r="L145" s="191"/>
      <c r="M145" s="194" t="str">
        <f t="shared" si="11"/>
        <v/>
      </c>
      <c r="N145" s="193" t="str">
        <f t="shared" si="12"/>
        <v/>
      </c>
      <c r="O145" s="195" t="str">
        <f t="shared" si="13"/>
        <v/>
      </c>
      <c r="P145" s="252"/>
      <c r="Q145" s="466"/>
      <c r="R145" s="467"/>
      <c r="S145" s="467"/>
      <c r="T145" s="468"/>
      <c r="U145" s="261"/>
      <c r="V145" s="261"/>
      <c r="W145" s="261"/>
      <c r="X145" s="262"/>
      <c r="Y145" s="261"/>
    </row>
    <row r="146" spans="2:25" ht="15.75" hidden="1" outlineLevel="1" thickBot="1" x14ac:dyDescent="0.3">
      <c r="B146" s="180"/>
      <c r="C146" s="357"/>
      <c r="D146" s="358"/>
      <c r="E146" s="185">
        <f t="shared" si="9"/>
        <v>0</v>
      </c>
      <c r="F146" s="359"/>
      <c r="G146" s="349"/>
      <c r="H146" s="206"/>
      <c r="I146" s="206"/>
      <c r="J146" s="297">
        <f t="shared" si="10"/>
        <v>0</v>
      </c>
      <c r="K146" s="309"/>
      <c r="L146" s="191"/>
      <c r="M146" s="194" t="str">
        <f t="shared" si="11"/>
        <v/>
      </c>
      <c r="N146" s="193" t="str">
        <f t="shared" si="12"/>
        <v/>
      </c>
      <c r="O146" s="195" t="str">
        <f t="shared" si="13"/>
        <v/>
      </c>
      <c r="P146" s="252"/>
      <c r="Q146" s="466"/>
      <c r="R146" s="467"/>
      <c r="S146" s="467"/>
      <c r="T146" s="468"/>
      <c r="U146" s="261"/>
      <c r="V146" s="261"/>
      <c r="W146" s="261"/>
      <c r="X146" s="262"/>
      <c r="Y146" s="261"/>
    </row>
    <row r="147" spans="2:25" ht="15.75" hidden="1" outlineLevel="1" thickBot="1" x14ac:dyDescent="0.3">
      <c r="B147" s="180"/>
      <c r="C147" s="357"/>
      <c r="D147" s="358"/>
      <c r="E147" s="185">
        <f t="shared" si="9"/>
        <v>0</v>
      </c>
      <c r="F147" s="359"/>
      <c r="G147" s="349"/>
      <c r="H147" s="206"/>
      <c r="I147" s="206"/>
      <c r="J147" s="297">
        <f t="shared" si="10"/>
        <v>0</v>
      </c>
      <c r="K147" s="309"/>
      <c r="L147" s="191"/>
      <c r="M147" s="194" t="str">
        <f t="shared" si="11"/>
        <v/>
      </c>
      <c r="N147" s="193" t="str">
        <f t="shared" si="12"/>
        <v/>
      </c>
      <c r="O147" s="195" t="str">
        <f t="shared" si="13"/>
        <v/>
      </c>
      <c r="P147" s="252"/>
      <c r="Q147" s="466"/>
      <c r="R147" s="467"/>
      <c r="S147" s="467"/>
      <c r="T147" s="468"/>
      <c r="U147" s="261"/>
      <c r="V147" s="261"/>
      <c r="W147" s="261"/>
      <c r="X147" s="262"/>
      <c r="Y147" s="261"/>
    </row>
    <row r="148" spans="2:25" ht="15.75" hidden="1" outlineLevel="1" thickBot="1" x14ac:dyDescent="0.3">
      <c r="B148" s="180"/>
      <c r="C148" s="357"/>
      <c r="D148" s="358"/>
      <c r="E148" s="185">
        <f t="shared" si="9"/>
        <v>0</v>
      </c>
      <c r="F148" s="359"/>
      <c r="G148" s="349"/>
      <c r="H148" s="206"/>
      <c r="I148" s="206"/>
      <c r="J148" s="297">
        <f t="shared" si="10"/>
        <v>0</v>
      </c>
      <c r="K148" s="309"/>
      <c r="L148" s="191"/>
      <c r="M148" s="194" t="str">
        <f t="shared" si="11"/>
        <v/>
      </c>
      <c r="N148" s="193" t="str">
        <f t="shared" si="12"/>
        <v/>
      </c>
      <c r="O148" s="195" t="str">
        <f t="shared" si="13"/>
        <v/>
      </c>
      <c r="P148" s="252"/>
      <c r="Q148" s="466"/>
      <c r="R148" s="467"/>
      <c r="S148" s="467"/>
      <c r="T148" s="468"/>
      <c r="U148" s="261"/>
      <c r="V148" s="261"/>
      <c r="W148" s="261"/>
      <c r="X148" s="262"/>
      <c r="Y148" s="261"/>
    </row>
    <row r="149" spans="2:25" ht="15.75" hidden="1" outlineLevel="1" thickBot="1" x14ac:dyDescent="0.3">
      <c r="B149" s="180"/>
      <c r="C149" s="357"/>
      <c r="D149" s="358"/>
      <c r="E149" s="185">
        <f t="shared" si="9"/>
        <v>0</v>
      </c>
      <c r="F149" s="359"/>
      <c r="G149" s="349"/>
      <c r="H149" s="206"/>
      <c r="I149" s="206"/>
      <c r="J149" s="297">
        <f t="shared" si="10"/>
        <v>0</v>
      </c>
      <c r="K149" s="309"/>
      <c r="L149" s="191"/>
      <c r="M149" s="194" t="str">
        <f t="shared" si="11"/>
        <v/>
      </c>
      <c r="N149" s="193" t="str">
        <f t="shared" si="12"/>
        <v/>
      </c>
      <c r="O149" s="195" t="str">
        <f t="shared" si="13"/>
        <v/>
      </c>
      <c r="P149" s="252"/>
      <c r="Q149" s="466"/>
      <c r="R149" s="467"/>
      <c r="S149" s="467"/>
      <c r="T149" s="468"/>
      <c r="U149" s="261"/>
      <c r="V149" s="261"/>
      <c r="W149" s="261"/>
      <c r="X149" s="262"/>
      <c r="Y149" s="261"/>
    </row>
    <row r="150" spans="2:25" ht="15.75" hidden="1" outlineLevel="1" thickBot="1" x14ac:dyDescent="0.3">
      <c r="B150" s="180"/>
      <c r="C150" s="357"/>
      <c r="D150" s="358"/>
      <c r="E150" s="185">
        <f t="shared" si="9"/>
        <v>0</v>
      </c>
      <c r="F150" s="359"/>
      <c r="G150" s="349"/>
      <c r="H150" s="206"/>
      <c r="I150" s="206"/>
      <c r="J150" s="297">
        <f t="shared" si="10"/>
        <v>0</v>
      </c>
      <c r="K150" s="309"/>
      <c r="L150" s="191"/>
      <c r="M150" s="194" t="str">
        <f t="shared" si="11"/>
        <v/>
      </c>
      <c r="N150" s="193" t="str">
        <f t="shared" si="12"/>
        <v/>
      </c>
      <c r="O150" s="195" t="str">
        <f t="shared" si="13"/>
        <v/>
      </c>
      <c r="P150" s="252"/>
      <c r="Q150" s="466"/>
      <c r="R150" s="467"/>
      <c r="S150" s="467"/>
      <c r="T150" s="468"/>
      <c r="U150" s="261"/>
      <c r="V150" s="261"/>
      <c r="W150" s="261"/>
      <c r="X150" s="262"/>
      <c r="Y150" s="261"/>
    </row>
    <row r="151" spans="2:25" ht="15.75" hidden="1" outlineLevel="1" thickBot="1" x14ac:dyDescent="0.3">
      <c r="B151" s="180"/>
      <c r="C151" s="357"/>
      <c r="D151" s="358"/>
      <c r="E151" s="185">
        <f t="shared" si="9"/>
        <v>0</v>
      </c>
      <c r="F151" s="359"/>
      <c r="G151" s="349"/>
      <c r="H151" s="206"/>
      <c r="I151" s="206"/>
      <c r="J151" s="297">
        <f t="shared" si="10"/>
        <v>0</v>
      </c>
      <c r="K151" s="309"/>
      <c r="L151" s="191"/>
      <c r="M151" s="194" t="str">
        <f t="shared" si="11"/>
        <v/>
      </c>
      <c r="N151" s="193" t="str">
        <f t="shared" si="12"/>
        <v/>
      </c>
      <c r="O151" s="195" t="str">
        <f t="shared" si="13"/>
        <v/>
      </c>
      <c r="P151" s="252"/>
      <c r="Q151" s="466"/>
      <c r="R151" s="467"/>
      <c r="S151" s="467"/>
      <c r="T151" s="468"/>
      <c r="U151" s="261"/>
      <c r="V151" s="261"/>
      <c r="W151" s="261"/>
      <c r="X151" s="262"/>
      <c r="Y151" s="261"/>
    </row>
    <row r="152" spans="2:25" ht="15.75" hidden="1" outlineLevel="1" thickBot="1" x14ac:dyDescent="0.3">
      <c r="B152" s="180"/>
      <c r="C152" s="357"/>
      <c r="D152" s="358"/>
      <c r="E152" s="185">
        <f t="shared" si="9"/>
        <v>0</v>
      </c>
      <c r="F152" s="359"/>
      <c r="G152" s="349"/>
      <c r="H152" s="206"/>
      <c r="I152" s="206"/>
      <c r="J152" s="297">
        <f t="shared" si="10"/>
        <v>0</v>
      </c>
      <c r="K152" s="309"/>
      <c r="L152" s="191"/>
      <c r="M152" s="194" t="str">
        <f t="shared" si="11"/>
        <v/>
      </c>
      <c r="N152" s="193" t="str">
        <f t="shared" si="12"/>
        <v/>
      </c>
      <c r="O152" s="195" t="str">
        <f t="shared" si="13"/>
        <v/>
      </c>
      <c r="P152" s="252"/>
      <c r="Q152" s="466"/>
      <c r="R152" s="467"/>
      <c r="S152" s="467"/>
      <c r="T152" s="468"/>
      <c r="U152" s="261"/>
      <c r="V152" s="261"/>
      <c r="W152" s="261"/>
      <c r="X152" s="262"/>
      <c r="Y152" s="261"/>
    </row>
    <row r="153" spans="2:25" ht="15.75" hidden="1" outlineLevel="1" thickBot="1" x14ac:dyDescent="0.3">
      <c r="B153" s="180"/>
      <c r="C153" s="357"/>
      <c r="D153" s="358"/>
      <c r="E153" s="185">
        <f t="shared" si="9"/>
        <v>0</v>
      </c>
      <c r="F153" s="359"/>
      <c r="G153" s="349"/>
      <c r="H153" s="206"/>
      <c r="I153" s="206"/>
      <c r="J153" s="297">
        <f t="shared" si="10"/>
        <v>0</v>
      </c>
      <c r="K153" s="309"/>
      <c r="L153" s="191"/>
      <c r="M153" s="194" t="str">
        <f t="shared" si="11"/>
        <v/>
      </c>
      <c r="N153" s="193" t="str">
        <f t="shared" si="12"/>
        <v/>
      </c>
      <c r="O153" s="195" t="str">
        <f t="shared" si="13"/>
        <v/>
      </c>
      <c r="P153" s="252"/>
      <c r="Q153" s="466"/>
      <c r="R153" s="467"/>
      <c r="S153" s="467"/>
      <c r="T153" s="468"/>
      <c r="U153" s="261"/>
      <c r="V153" s="261"/>
      <c r="W153" s="261"/>
      <c r="X153" s="262"/>
      <c r="Y153" s="261"/>
    </row>
    <row r="154" spans="2:25" ht="15.75" hidden="1" outlineLevel="1" thickBot="1" x14ac:dyDescent="0.3">
      <c r="B154" s="180"/>
      <c r="C154" s="357"/>
      <c r="D154" s="358"/>
      <c r="E154" s="185">
        <f t="shared" si="9"/>
        <v>0</v>
      </c>
      <c r="F154" s="359"/>
      <c r="G154" s="349"/>
      <c r="H154" s="206"/>
      <c r="I154" s="206"/>
      <c r="J154" s="297">
        <f t="shared" si="10"/>
        <v>0</v>
      </c>
      <c r="K154" s="309"/>
      <c r="L154" s="191"/>
      <c r="M154" s="194" t="str">
        <f t="shared" si="11"/>
        <v/>
      </c>
      <c r="N154" s="193" t="str">
        <f t="shared" si="12"/>
        <v/>
      </c>
      <c r="O154" s="195" t="str">
        <f t="shared" si="13"/>
        <v/>
      </c>
      <c r="P154" s="252"/>
      <c r="Q154" s="466"/>
      <c r="R154" s="467"/>
      <c r="S154" s="467"/>
      <c r="T154" s="468"/>
      <c r="U154" s="261"/>
      <c r="V154" s="261"/>
      <c r="W154" s="261"/>
      <c r="X154" s="262"/>
      <c r="Y154" s="261"/>
    </row>
    <row r="155" spans="2:25" ht="15.75" hidden="1" outlineLevel="1" thickBot="1" x14ac:dyDescent="0.3">
      <c r="B155" s="180"/>
      <c r="C155" s="357"/>
      <c r="D155" s="358"/>
      <c r="E155" s="185">
        <f t="shared" si="9"/>
        <v>0</v>
      </c>
      <c r="F155" s="359"/>
      <c r="G155" s="349"/>
      <c r="H155" s="206"/>
      <c r="I155" s="206"/>
      <c r="J155" s="297">
        <f t="shared" si="10"/>
        <v>0</v>
      </c>
      <c r="K155" s="309"/>
      <c r="L155" s="191"/>
      <c r="M155" s="194" t="str">
        <f t="shared" si="11"/>
        <v/>
      </c>
      <c r="N155" s="193" t="str">
        <f t="shared" si="12"/>
        <v/>
      </c>
      <c r="O155" s="195" t="str">
        <f t="shared" si="13"/>
        <v/>
      </c>
      <c r="P155" s="252"/>
      <c r="Q155" s="466"/>
      <c r="R155" s="467"/>
      <c r="S155" s="467"/>
      <c r="T155" s="468"/>
      <c r="U155" s="261"/>
      <c r="V155" s="261"/>
      <c r="W155" s="261"/>
      <c r="X155" s="262"/>
      <c r="Y155" s="261"/>
    </row>
    <row r="156" spans="2:25" ht="15.75" hidden="1" outlineLevel="1" thickBot="1" x14ac:dyDescent="0.3">
      <c r="B156" s="180"/>
      <c r="C156" s="357"/>
      <c r="D156" s="358"/>
      <c r="E156" s="185">
        <f t="shared" si="9"/>
        <v>0</v>
      </c>
      <c r="F156" s="359"/>
      <c r="G156" s="349"/>
      <c r="H156" s="206"/>
      <c r="I156" s="206"/>
      <c r="J156" s="297">
        <f t="shared" si="10"/>
        <v>0</v>
      </c>
      <c r="K156" s="309"/>
      <c r="L156" s="191"/>
      <c r="M156" s="194" t="str">
        <f t="shared" si="11"/>
        <v/>
      </c>
      <c r="N156" s="193" t="str">
        <f t="shared" si="12"/>
        <v/>
      </c>
      <c r="O156" s="195" t="str">
        <f t="shared" si="13"/>
        <v/>
      </c>
      <c r="P156" s="252"/>
      <c r="Q156" s="466"/>
      <c r="R156" s="467"/>
      <c r="S156" s="467"/>
      <c r="T156" s="468"/>
      <c r="U156" s="261"/>
      <c r="V156" s="261"/>
      <c r="W156" s="261"/>
      <c r="X156" s="262"/>
      <c r="Y156" s="261"/>
    </row>
    <row r="157" spans="2:25" ht="15.75" hidden="1" outlineLevel="1" thickBot="1" x14ac:dyDescent="0.3">
      <c r="B157" s="180"/>
      <c r="C157" s="357"/>
      <c r="D157" s="358"/>
      <c r="E157" s="185">
        <f t="shared" si="9"/>
        <v>0</v>
      </c>
      <c r="F157" s="359"/>
      <c r="G157" s="349"/>
      <c r="H157" s="206"/>
      <c r="I157" s="206"/>
      <c r="J157" s="297">
        <f t="shared" si="10"/>
        <v>0</v>
      </c>
      <c r="K157" s="309"/>
      <c r="L157" s="191"/>
      <c r="M157" s="194" t="str">
        <f t="shared" si="11"/>
        <v/>
      </c>
      <c r="N157" s="193" t="str">
        <f t="shared" si="12"/>
        <v/>
      </c>
      <c r="O157" s="195" t="str">
        <f t="shared" si="13"/>
        <v/>
      </c>
      <c r="P157" s="252"/>
      <c r="Q157" s="466"/>
      <c r="R157" s="467"/>
      <c r="S157" s="467"/>
      <c r="T157" s="468"/>
      <c r="U157" s="261"/>
      <c r="V157" s="261"/>
      <c r="W157" s="261"/>
      <c r="X157" s="262"/>
      <c r="Y157" s="261"/>
    </row>
    <row r="158" spans="2:25" ht="15.75" hidden="1" outlineLevel="1" thickBot="1" x14ac:dyDescent="0.3">
      <c r="B158" s="180"/>
      <c r="C158" s="357"/>
      <c r="D158" s="358"/>
      <c r="E158" s="185">
        <f t="shared" si="9"/>
        <v>0</v>
      </c>
      <c r="F158" s="359"/>
      <c r="G158" s="349"/>
      <c r="H158" s="206"/>
      <c r="I158" s="206"/>
      <c r="J158" s="297">
        <f t="shared" si="10"/>
        <v>0</v>
      </c>
      <c r="K158" s="309"/>
      <c r="L158" s="191"/>
      <c r="M158" s="194" t="str">
        <f t="shared" si="11"/>
        <v/>
      </c>
      <c r="N158" s="193" t="str">
        <f t="shared" si="12"/>
        <v/>
      </c>
      <c r="O158" s="195" t="str">
        <f t="shared" si="13"/>
        <v/>
      </c>
      <c r="P158" s="252"/>
      <c r="Q158" s="466"/>
      <c r="R158" s="467"/>
      <c r="S158" s="467"/>
      <c r="T158" s="468"/>
      <c r="U158" s="261"/>
      <c r="V158" s="261"/>
      <c r="W158" s="261"/>
      <c r="X158" s="262"/>
      <c r="Y158" s="261"/>
    </row>
    <row r="159" spans="2:25" ht="15.75" hidden="1" outlineLevel="1" thickBot="1" x14ac:dyDescent="0.3">
      <c r="B159" s="180"/>
      <c r="C159" s="357"/>
      <c r="D159" s="358"/>
      <c r="E159" s="185">
        <f t="shared" si="9"/>
        <v>0</v>
      </c>
      <c r="F159" s="359"/>
      <c r="G159" s="349"/>
      <c r="H159" s="206"/>
      <c r="I159" s="206"/>
      <c r="J159" s="297">
        <f t="shared" si="10"/>
        <v>0</v>
      </c>
      <c r="K159" s="309"/>
      <c r="L159" s="191"/>
      <c r="M159" s="194" t="str">
        <f t="shared" si="11"/>
        <v/>
      </c>
      <c r="N159" s="193" t="str">
        <f t="shared" si="12"/>
        <v/>
      </c>
      <c r="O159" s="195" t="str">
        <f t="shared" si="13"/>
        <v/>
      </c>
      <c r="P159" s="252"/>
      <c r="Q159" s="466"/>
      <c r="R159" s="467"/>
      <c r="S159" s="467"/>
      <c r="T159" s="468"/>
      <c r="U159" s="261"/>
      <c r="V159" s="261"/>
      <c r="W159" s="261"/>
      <c r="X159" s="262"/>
      <c r="Y159" s="261"/>
    </row>
    <row r="160" spans="2:25" ht="15.75" hidden="1" outlineLevel="1" thickBot="1" x14ac:dyDescent="0.3">
      <c r="B160" s="180"/>
      <c r="C160" s="357"/>
      <c r="D160" s="358"/>
      <c r="E160" s="185">
        <f t="shared" si="9"/>
        <v>0</v>
      </c>
      <c r="F160" s="359"/>
      <c r="G160" s="349"/>
      <c r="H160" s="206"/>
      <c r="I160" s="206"/>
      <c r="J160" s="297">
        <f t="shared" si="10"/>
        <v>0</v>
      </c>
      <c r="K160" s="309"/>
      <c r="L160" s="191"/>
      <c r="M160" s="194" t="str">
        <f t="shared" si="11"/>
        <v/>
      </c>
      <c r="N160" s="193" t="str">
        <f t="shared" si="12"/>
        <v/>
      </c>
      <c r="O160" s="195" t="str">
        <f t="shared" si="13"/>
        <v/>
      </c>
      <c r="P160" s="252"/>
      <c r="Q160" s="466"/>
      <c r="R160" s="467"/>
      <c r="S160" s="467"/>
      <c r="T160" s="468"/>
      <c r="U160" s="261"/>
      <c r="V160" s="261"/>
      <c r="W160" s="261"/>
      <c r="X160" s="262"/>
      <c r="Y160" s="261"/>
    </row>
    <row r="161" spans="2:25" ht="15.75" hidden="1" outlineLevel="1" thickBot="1" x14ac:dyDescent="0.3">
      <c r="B161" s="180"/>
      <c r="C161" s="357"/>
      <c r="D161" s="358"/>
      <c r="E161" s="185">
        <f t="shared" si="9"/>
        <v>0</v>
      </c>
      <c r="F161" s="359"/>
      <c r="G161" s="349"/>
      <c r="H161" s="206"/>
      <c r="I161" s="206"/>
      <c r="J161" s="297">
        <f t="shared" si="10"/>
        <v>0</v>
      </c>
      <c r="K161" s="309"/>
      <c r="L161" s="191"/>
      <c r="M161" s="194" t="str">
        <f t="shared" si="11"/>
        <v/>
      </c>
      <c r="N161" s="193" t="str">
        <f t="shared" si="12"/>
        <v/>
      </c>
      <c r="O161" s="195" t="str">
        <f t="shared" si="13"/>
        <v/>
      </c>
      <c r="P161" s="252"/>
      <c r="Q161" s="466"/>
      <c r="R161" s="467"/>
      <c r="S161" s="467"/>
      <c r="T161" s="468"/>
      <c r="U161" s="261"/>
      <c r="V161" s="261"/>
      <c r="W161" s="261"/>
      <c r="X161" s="262"/>
      <c r="Y161" s="261"/>
    </row>
    <row r="162" spans="2:25" ht="15.75" hidden="1" outlineLevel="1" thickBot="1" x14ac:dyDescent="0.3">
      <c r="B162" s="180"/>
      <c r="C162" s="357"/>
      <c r="D162" s="358"/>
      <c r="E162" s="185">
        <f t="shared" si="9"/>
        <v>0</v>
      </c>
      <c r="F162" s="359"/>
      <c r="G162" s="349"/>
      <c r="H162" s="206"/>
      <c r="I162" s="206"/>
      <c r="J162" s="297">
        <f t="shared" si="10"/>
        <v>0</v>
      </c>
      <c r="K162" s="309"/>
      <c r="L162" s="191"/>
      <c r="M162" s="194" t="str">
        <f t="shared" si="11"/>
        <v/>
      </c>
      <c r="N162" s="193" t="str">
        <f t="shared" si="12"/>
        <v/>
      </c>
      <c r="O162" s="195" t="str">
        <f t="shared" si="13"/>
        <v/>
      </c>
      <c r="P162" s="252"/>
      <c r="Q162" s="466"/>
      <c r="R162" s="467"/>
      <c r="S162" s="467"/>
      <c r="T162" s="468"/>
      <c r="U162" s="261"/>
      <c r="V162" s="261"/>
      <c r="W162" s="261"/>
      <c r="X162" s="262"/>
      <c r="Y162" s="261"/>
    </row>
    <row r="163" spans="2:25" ht="15.75" hidden="1" outlineLevel="1" thickBot="1" x14ac:dyDescent="0.3">
      <c r="B163" s="180"/>
      <c r="C163" s="357"/>
      <c r="D163" s="358"/>
      <c r="E163" s="185">
        <f t="shared" si="9"/>
        <v>0</v>
      </c>
      <c r="F163" s="359"/>
      <c r="G163" s="349"/>
      <c r="H163" s="206"/>
      <c r="I163" s="206"/>
      <c r="J163" s="297">
        <f t="shared" si="10"/>
        <v>0</v>
      </c>
      <c r="K163" s="309"/>
      <c r="L163" s="191"/>
      <c r="M163" s="194" t="str">
        <f t="shared" si="11"/>
        <v/>
      </c>
      <c r="N163" s="193" t="str">
        <f t="shared" si="12"/>
        <v/>
      </c>
      <c r="O163" s="195" t="str">
        <f t="shared" si="13"/>
        <v/>
      </c>
      <c r="P163" s="252"/>
      <c r="Q163" s="466"/>
      <c r="R163" s="467"/>
      <c r="S163" s="467"/>
      <c r="T163" s="468"/>
      <c r="U163" s="261"/>
      <c r="V163" s="261"/>
      <c r="W163" s="261"/>
      <c r="X163" s="262"/>
      <c r="Y163" s="261"/>
    </row>
    <row r="164" spans="2:25" ht="15.75" hidden="1" outlineLevel="1" thickBot="1" x14ac:dyDescent="0.3">
      <c r="B164" s="180"/>
      <c r="C164" s="357"/>
      <c r="D164" s="358"/>
      <c r="E164" s="185">
        <f t="shared" si="9"/>
        <v>0</v>
      </c>
      <c r="F164" s="359"/>
      <c r="G164" s="349"/>
      <c r="H164" s="206"/>
      <c r="I164" s="206"/>
      <c r="J164" s="297">
        <f t="shared" si="10"/>
        <v>0</v>
      </c>
      <c r="K164" s="309"/>
      <c r="L164" s="191"/>
      <c r="M164" s="194" t="str">
        <f t="shared" si="11"/>
        <v/>
      </c>
      <c r="N164" s="193" t="str">
        <f t="shared" si="12"/>
        <v/>
      </c>
      <c r="O164" s="195" t="str">
        <f t="shared" si="13"/>
        <v/>
      </c>
      <c r="P164" s="252"/>
      <c r="Q164" s="466"/>
      <c r="R164" s="467"/>
      <c r="S164" s="467"/>
      <c r="T164" s="468"/>
      <c r="U164" s="261"/>
      <c r="V164" s="261"/>
      <c r="W164" s="261"/>
      <c r="X164" s="262"/>
      <c r="Y164" s="261"/>
    </row>
    <row r="165" spans="2:25" ht="15.75" hidden="1" outlineLevel="1" thickBot="1" x14ac:dyDescent="0.3">
      <c r="B165" s="180"/>
      <c r="C165" s="357"/>
      <c r="D165" s="358"/>
      <c r="E165" s="185">
        <f t="shared" si="9"/>
        <v>0</v>
      </c>
      <c r="F165" s="359"/>
      <c r="G165" s="349"/>
      <c r="H165" s="206"/>
      <c r="I165" s="206"/>
      <c r="J165" s="297">
        <f t="shared" si="10"/>
        <v>0</v>
      </c>
      <c r="K165" s="309"/>
      <c r="L165" s="191"/>
      <c r="M165" s="194" t="str">
        <f t="shared" si="11"/>
        <v/>
      </c>
      <c r="N165" s="193" t="str">
        <f t="shared" si="12"/>
        <v/>
      </c>
      <c r="O165" s="195" t="str">
        <f t="shared" si="13"/>
        <v/>
      </c>
      <c r="P165" s="252"/>
      <c r="Q165" s="466"/>
      <c r="R165" s="467"/>
      <c r="S165" s="467"/>
      <c r="T165" s="468"/>
      <c r="U165" s="261"/>
      <c r="V165" s="261"/>
      <c r="W165" s="261"/>
      <c r="X165" s="262"/>
      <c r="Y165" s="261"/>
    </row>
    <row r="166" spans="2:25" ht="15.75" hidden="1" outlineLevel="1" thickBot="1" x14ac:dyDescent="0.3">
      <c r="B166" s="180"/>
      <c r="C166" s="357"/>
      <c r="D166" s="358"/>
      <c r="E166" s="185">
        <f t="shared" si="9"/>
        <v>0</v>
      </c>
      <c r="F166" s="359"/>
      <c r="G166" s="349"/>
      <c r="H166" s="206"/>
      <c r="I166" s="206"/>
      <c r="J166" s="297">
        <f t="shared" si="10"/>
        <v>0</v>
      </c>
      <c r="K166" s="309"/>
      <c r="L166" s="191"/>
      <c r="M166" s="194" t="str">
        <f t="shared" si="11"/>
        <v/>
      </c>
      <c r="N166" s="193" t="str">
        <f t="shared" si="12"/>
        <v/>
      </c>
      <c r="O166" s="195" t="str">
        <f t="shared" si="13"/>
        <v/>
      </c>
      <c r="P166" s="252"/>
      <c r="Q166" s="466"/>
      <c r="R166" s="467"/>
      <c r="S166" s="467"/>
      <c r="T166" s="468"/>
      <c r="U166" s="261"/>
      <c r="V166" s="261"/>
      <c r="W166" s="261"/>
      <c r="X166" s="262"/>
      <c r="Y166" s="261"/>
    </row>
    <row r="167" spans="2:25" ht="15.75" hidden="1" outlineLevel="1" thickBot="1" x14ac:dyDescent="0.3">
      <c r="B167" s="180"/>
      <c r="C167" s="357"/>
      <c r="D167" s="358"/>
      <c r="E167" s="185">
        <f t="shared" si="9"/>
        <v>0</v>
      </c>
      <c r="F167" s="359"/>
      <c r="G167" s="349"/>
      <c r="H167" s="206"/>
      <c r="I167" s="206"/>
      <c r="J167" s="297">
        <f t="shared" si="10"/>
        <v>0</v>
      </c>
      <c r="K167" s="309"/>
      <c r="L167" s="191"/>
      <c r="M167" s="194" t="str">
        <f t="shared" si="11"/>
        <v/>
      </c>
      <c r="N167" s="193" t="str">
        <f t="shared" si="12"/>
        <v/>
      </c>
      <c r="O167" s="195" t="str">
        <f t="shared" si="13"/>
        <v/>
      </c>
      <c r="P167" s="252"/>
      <c r="Q167" s="466"/>
      <c r="R167" s="467"/>
      <c r="S167" s="467"/>
      <c r="T167" s="468"/>
      <c r="U167" s="261"/>
      <c r="V167" s="261"/>
      <c r="W167" s="261"/>
      <c r="X167" s="262"/>
      <c r="Y167" s="261"/>
    </row>
    <row r="168" spans="2:25" ht="15.75" hidden="1" outlineLevel="1" thickBot="1" x14ac:dyDescent="0.3">
      <c r="B168" s="180"/>
      <c r="C168" s="357"/>
      <c r="D168" s="358"/>
      <c r="E168" s="185">
        <f t="shared" si="9"/>
        <v>0</v>
      </c>
      <c r="F168" s="359"/>
      <c r="G168" s="349"/>
      <c r="H168" s="206"/>
      <c r="I168" s="206"/>
      <c r="J168" s="297">
        <f t="shared" si="10"/>
        <v>0</v>
      </c>
      <c r="K168" s="309"/>
      <c r="L168" s="191"/>
      <c r="M168" s="194" t="str">
        <f t="shared" si="11"/>
        <v/>
      </c>
      <c r="N168" s="193" t="str">
        <f t="shared" si="12"/>
        <v/>
      </c>
      <c r="O168" s="195" t="str">
        <f t="shared" si="13"/>
        <v/>
      </c>
      <c r="P168" s="252"/>
      <c r="Q168" s="466"/>
      <c r="R168" s="467"/>
      <c r="S168" s="467"/>
      <c r="T168" s="468"/>
      <c r="U168" s="261"/>
      <c r="V168" s="261"/>
      <c r="W168" s="261"/>
      <c r="X168" s="262"/>
      <c r="Y168" s="261"/>
    </row>
    <row r="169" spans="2:25" ht="15.75" hidden="1" outlineLevel="1" thickBot="1" x14ac:dyDescent="0.3">
      <c r="B169" s="180"/>
      <c r="C169" s="357"/>
      <c r="D169" s="358"/>
      <c r="E169" s="185">
        <f t="shared" si="9"/>
        <v>0</v>
      </c>
      <c r="F169" s="359"/>
      <c r="G169" s="349"/>
      <c r="H169" s="206"/>
      <c r="I169" s="206"/>
      <c r="J169" s="297">
        <f t="shared" si="10"/>
        <v>0</v>
      </c>
      <c r="K169" s="309"/>
      <c r="L169" s="191"/>
      <c r="M169" s="194" t="str">
        <f t="shared" si="11"/>
        <v/>
      </c>
      <c r="N169" s="193" t="str">
        <f t="shared" si="12"/>
        <v/>
      </c>
      <c r="O169" s="195" t="str">
        <f t="shared" si="13"/>
        <v/>
      </c>
      <c r="P169" s="252"/>
      <c r="Q169" s="466"/>
      <c r="R169" s="467"/>
      <c r="S169" s="467"/>
      <c r="T169" s="468"/>
      <c r="U169" s="261"/>
      <c r="V169" s="261"/>
      <c r="W169" s="261"/>
      <c r="X169" s="262"/>
      <c r="Y169" s="261"/>
    </row>
    <row r="170" spans="2:25" ht="15.75" hidden="1" outlineLevel="1" thickBot="1" x14ac:dyDescent="0.3">
      <c r="B170" s="180"/>
      <c r="C170" s="357"/>
      <c r="D170" s="358"/>
      <c r="E170" s="185">
        <f t="shared" si="9"/>
        <v>0</v>
      </c>
      <c r="F170" s="359"/>
      <c r="G170" s="349"/>
      <c r="H170" s="206"/>
      <c r="I170" s="206"/>
      <c r="J170" s="297">
        <f t="shared" si="10"/>
        <v>0</v>
      </c>
      <c r="K170" s="309"/>
      <c r="L170" s="191"/>
      <c r="M170" s="194" t="str">
        <f t="shared" si="11"/>
        <v/>
      </c>
      <c r="N170" s="193" t="str">
        <f t="shared" si="12"/>
        <v/>
      </c>
      <c r="O170" s="195" t="str">
        <f t="shared" si="13"/>
        <v/>
      </c>
      <c r="P170" s="252"/>
      <c r="Q170" s="466"/>
      <c r="R170" s="467"/>
      <c r="S170" s="467"/>
      <c r="T170" s="468"/>
      <c r="U170" s="261"/>
      <c r="V170" s="261"/>
      <c r="W170" s="261"/>
      <c r="X170" s="262"/>
      <c r="Y170" s="261"/>
    </row>
    <row r="171" spans="2:25" ht="15.75" hidden="1" outlineLevel="1" thickBot="1" x14ac:dyDescent="0.3">
      <c r="B171" s="180"/>
      <c r="C171" s="357"/>
      <c r="D171" s="358"/>
      <c r="E171" s="185">
        <f t="shared" si="9"/>
        <v>0</v>
      </c>
      <c r="F171" s="359"/>
      <c r="G171" s="349"/>
      <c r="H171" s="206"/>
      <c r="I171" s="206"/>
      <c r="J171" s="297">
        <f t="shared" si="10"/>
        <v>0</v>
      </c>
      <c r="K171" s="309"/>
      <c r="L171" s="191"/>
      <c r="M171" s="194" t="str">
        <f t="shared" si="11"/>
        <v/>
      </c>
      <c r="N171" s="193" t="str">
        <f t="shared" si="12"/>
        <v/>
      </c>
      <c r="O171" s="195" t="str">
        <f t="shared" si="13"/>
        <v/>
      </c>
      <c r="P171" s="252"/>
      <c r="Q171" s="466"/>
      <c r="R171" s="467"/>
      <c r="S171" s="467"/>
      <c r="T171" s="468"/>
      <c r="U171" s="261"/>
      <c r="V171" s="261"/>
      <c r="W171" s="261"/>
      <c r="X171" s="262"/>
      <c r="Y171" s="261"/>
    </row>
    <row r="172" spans="2:25" ht="15.75" hidden="1" outlineLevel="1" thickBot="1" x14ac:dyDescent="0.3">
      <c r="B172" s="180"/>
      <c r="C172" s="357"/>
      <c r="D172" s="358"/>
      <c r="E172" s="185">
        <f t="shared" si="9"/>
        <v>0</v>
      </c>
      <c r="F172" s="359"/>
      <c r="G172" s="349"/>
      <c r="H172" s="206"/>
      <c r="I172" s="206"/>
      <c r="J172" s="297">
        <f t="shared" si="10"/>
        <v>0</v>
      </c>
      <c r="K172" s="309"/>
      <c r="L172" s="191"/>
      <c r="M172" s="194" t="str">
        <f t="shared" si="11"/>
        <v/>
      </c>
      <c r="N172" s="193" t="str">
        <f t="shared" si="12"/>
        <v/>
      </c>
      <c r="O172" s="195" t="str">
        <f t="shared" si="13"/>
        <v/>
      </c>
      <c r="P172" s="252"/>
      <c r="Q172" s="466"/>
      <c r="R172" s="467"/>
      <c r="S172" s="467"/>
      <c r="T172" s="468"/>
      <c r="U172" s="261"/>
      <c r="V172" s="261"/>
      <c r="W172" s="261"/>
      <c r="X172" s="262"/>
      <c r="Y172" s="261"/>
    </row>
    <row r="173" spans="2:25" ht="15.75" hidden="1" outlineLevel="1" thickBot="1" x14ac:dyDescent="0.3">
      <c r="B173" s="180"/>
      <c r="C173" s="357"/>
      <c r="D173" s="358"/>
      <c r="E173" s="185">
        <f t="shared" si="9"/>
        <v>0</v>
      </c>
      <c r="F173" s="359"/>
      <c r="G173" s="349"/>
      <c r="H173" s="206"/>
      <c r="I173" s="206"/>
      <c r="J173" s="297">
        <f t="shared" si="10"/>
        <v>0</v>
      </c>
      <c r="K173" s="309"/>
      <c r="L173" s="191"/>
      <c r="M173" s="194" t="str">
        <f t="shared" si="11"/>
        <v/>
      </c>
      <c r="N173" s="193" t="str">
        <f t="shared" si="12"/>
        <v/>
      </c>
      <c r="O173" s="195" t="str">
        <f t="shared" si="13"/>
        <v/>
      </c>
      <c r="P173" s="252"/>
      <c r="Q173" s="466"/>
      <c r="R173" s="467"/>
      <c r="S173" s="467"/>
      <c r="T173" s="468"/>
      <c r="U173" s="261"/>
      <c r="V173" s="261"/>
      <c r="W173" s="261"/>
      <c r="X173" s="262"/>
      <c r="Y173" s="261"/>
    </row>
    <row r="174" spans="2:25" ht="15.75" hidden="1" outlineLevel="1" thickBot="1" x14ac:dyDescent="0.3">
      <c r="B174" s="180"/>
      <c r="C174" s="357"/>
      <c r="D174" s="358"/>
      <c r="E174" s="185">
        <f t="shared" si="9"/>
        <v>0</v>
      </c>
      <c r="F174" s="359"/>
      <c r="G174" s="349"/>
      <c r="H174" s="206"/>
      <c r="I174" s="206"/>
      <c r="J174" s="297">
        <f t="shared" si="10"/>
        <v>0</v>
      </c>
      <c r="K174" s="309"/>
      <c r="L174" s="191"/>
      <c r="M174" s="194" t="str">
        <f t="shared" si="11"/>
        <v/>
      </c>
      <c r="N174" s="193" t="str">
        <f t="shared" si="12"/>
        <v/>
      </c>
      <c r="O174" s="195" t="str">
        <f t="shared" si="13"/>
        <v/>
      </c>
      <c r="P174" s="252"/>
      <c r="Q174" s="466"/>
      <c r="R174" s="467"/>
      <c r="S174" s="467"/>
      <c r="T174" s="468"/>
      <c r="U174" s="261"/>
      <c r="V174" s="261"/>
      <c r="W174" s="261"/>
      <c r="X174" s="262"/>
      <c r="Y174" s="261"/>
    </row>
    <row r="175" spans="2:25" ht="15.75" hidden="1" outlineLevel="1" thickBot="1" x14ac:dyDescent="0.3">
      <c r="B175" s="180"/>
      <c r="C175" s="357"/>
      <c r="D175" s="358"/>
      <c r="E175" s="185">
        <f t="shared" si="9"/>
        <v>0</v>
      </c>
      <c r="F175" s="359"/>
      <c r="G175" s="349"/>
      <c r="H175" s="206"/>
      <c r="I175" s="206"/>
      <c r="J175" s="297">
        <f t="shared" si="10"/>
        <v>0</v>
      </c>
      <c r="K175" s="309"/>
      <c r="L175" s="191"/>
      <c r="M175" s="194" t="str">
        <f t="shared" si="11"/>
        <v/>
      </c>
      <c r="N175" s="193" t="str">
        <f t="shared" si="12"/>
        <v/>
      </c>
      <c r="O175" s="195" t="str">
        <f t="shared" si="13"/>
        <v/>
      </c>
      <c r="P175" s="252"/>
      <c r="Q175" s="466"/>
      <c r="R175" s="467"/>
      <c r="S175" s="467"/>
      <c r="T175" s="468"/>
      <c r="U175" s="261"/>
      <c r="V175" s="261"/>
      <c r="W175" s="261"/>
      <c r="X175" s="262"/>
      <c r="Y175" s="261"/>
    </row>
    <row r="176" spans="2:25" ht="15.75" hidden="1" outlineLevel="1" thickBot="1" x14ac:dyDescent="0.3">
      <c r="B176" s="180"/>
      <c r="C176" s="357"/>
      <c r="D176" s="358"/>
      <c r="E176" s="185">
        <f t="shared" si="9"/>
        <v>0</v>
      </c>
      <c r="F176" s="359"/>
      <c r="G176" s="349"/>
      <c r="H176" s="206"/>
      <c r="I176" s="206"/>
      <c r="J176" s="297">
        <f t="shared" si="10"/>
        <v>0</v>
      </c>
      <c r="K176" s="309"/>
      <c r="L176" s="191"/>
      <c r="M176" s="194" t="str">
        <f t="shared" si="11"/>
        <v/>
      </c>
      <c r="N176" s="193" t="str">
        <f t="shared" si="12"/>
        <v/>
      </c>
      <c r="O176" s="195" t="str">
        <f t="shared" si="13"/>
        <v/>
      </c>
      <c r="P176" s="252"/>
      <c r="Q176" s="466"/>
      <c r="R176" s="467"/>
      <c r="S176" s="467"/>
      <c r="T176" s="468"/>
      <c r="U176" s="261"/>
      <c r="V176" s="261"/>
      <c r="W176" s="261"/>
      <c r="X176" s="262"/>
      <c r="Y176" s="261"/>
    </row>
    <row r="177" spans="2:25" ht="15.75" hidden="1" outlineLevel="1" thickBot="1" x14ac:dyDescent="0.3">
      <c r="B177" s="180"/>
      <c r="C177" s="357"/>
      <c r="D177" s="358"/>
      <c r="E177" s="185">
        <f t="shared" si="9"/>
        <v>0</v>
      </c>
      <c r="F177" s="359"/>
      <c r="G177" s="349"/>
      <c r="H177" s="206"/>
      <c r="I177" s="206"/>
      <c r="J177" s="297">
        <f t="shared" si="10"/>
        <v>0</v>
      </c>
      <c r="K177" s="309"/>
      <c r="L177" s="191"/>
      <c r="M177" s="194" t="str">
        <f t="shared" si="11"/>
        <v/>
      </c>
      <c r="N177" s="193" t="str">
        <f t="shared" si="12"/>
        <v/>
      </c>
      <c r="O177" s="195" t="str">
        <f t="shared" si="13"/>
        <v/>
      </c>
      <c r="P177" s="252"/>
      <c r="Q177" s="466"/>
      <c r="R177" s="467"/>
      <c r="S177" s="467"/>
      <c r="T177" s="468"/>
      <c r="U177" s="261"/>
      <c r="V177" s="261"/>
      <c r="W177" s="261"/>
      <c r="X177" s="262"/>
      <c r="Y177" s="261"/>
    </row>
    <row r="178" spans="2:25" ht="15.75" hidden="1" outlineLevel="1" thickBot="1" x14ac:dyDescent="0.3">
      <c r="B178" s="180"/>
      <c r="C178" s="357"/>
      <c r="D178" s="358"/>
      <c r="E178" s="185">
        <f t="shared" si="9"/>
        <v>0</v>
      </c>
      <c r="F178" s="359"/>
      <c r="G178" s="349"/>
      <c r="H178" s="206"/>
      <c r="I178" s="206"/>
      <c r="J178" s="297">
        <f t="shared" si="10"/>
        <v>0</v>
      </c>
      <c r="K178" s="309"/>
      <c r="L178" s="191"/>
      <c r="M178" s="194" t="str">
        <f t="shared" si="11"/>
        <v/>
      </c>
      <c r="N178" s="193" t="str">
        <f t="shared" si="12"/>
        <v/>
      </c>
      <c r="O178" s="195" t="str">
        <f t="shared" si="13"/>
        <v/>
      </c>
      <c r="P178" s="252"/>
      <c r="Q178" s="466"/>
      <c r="R178" s="467"/>
      <c r="S178" s="467"/>
      <c r="T178" s="468"/>
      <c r="U178" s="261"/>
      <c r="V178" s="261"/>
      <c r="W178" s="261"/>
      <c r="X178" s="262"/>
      <c r="Y178" s="261"/>
    </row>
    <row r="179" spans="2:25" ht="15.75" hidden="1" outlineLevel="1" thickBot="1" x14ac:dyDescent="0.3">
      <c r="B179" s="180"/>
      <c r="C179" s="357"/>
      <c r="D179" s="358"/>
      <c r="E179" s="185">
        <f t="shared" si="9"/>
        <v>0</v>
      </c>
      <c r="F179" s="359"/>
      <c r="G179" s="349"/>
      <c r="H179" s="206"/>
      <c r="I179" s="206"/>
      <c r="J179" s="297">
        <f t="shared" si="10"/>
        <v>0</v>
      </c>
      <c r="K179" s="309"/>
      <c r="L179" s="191"/>
      <c r="M179" s="194" t="str">
        <f t="shared" si="11"/>
        <v/>
      </c>
      <c r="N179" s="193" t="str">
        <f t="shared" si="12"/>
        <v/>
      </c>
      <c r="O179" s="195" t="str">
        <f t="shared" si="13"/>
        <v/>
      </c>
      <c r="P179" s="252"/>
      <c r="Q179" s="466"/>
      <c r="R179" s="467"/>
      <c r="S179" s="467"/>
      <c r="T179" s="468"/>
      <c r="U179" s="261"/>
      <c r="V179" s="261"/>
      <c r="W179" s="261"/>
      <c r="X179" s="262"/>
      <c r="Y179" s="261"/>
    </row>
    <row r="180" spans="2:25" ht="15.75" hidden="1" outlineLevel="1" thickBot="1" x14ac:dyDescent="0.3">
      <c r="B180" s="180"/>
      <c r="C180" s="357"/>
      <c r="D180" s="358"/>
      <c r="E180" s="185">
        <f t="shared" si="9"/>
        <v>0</v>
      </c>
      <c r="F180" s="359"/>
      <c r="G180" s="349"/>
      <c r="H180" s="206"/>
      <c r="I180" s="206"/>
      <c r="J180" s="297">
        <f t="shared" si="10"/>
        <v>0</v>
      </c>
      <c r="K180" s="309"/>
      <c r="L180" s="191"/>
      <c r="M180" s="194" t="str">
        <f t="shared" si="11"/>
        <v/>
      </c>
      <c r="N180" s="193" t="str">
        <f t="shared" si="12"/>
        <v/>
      </c>
      <c r="O180" s="195" t="str">
        <f t="shared" si="13"/>
        <v/>
      </c>
      <c r="P180" s="252"/>
      <c r="Q180" s="466"/>
      <c r="R180" s="467"/>
      <c r="S180" s="467"/>
      <c r="T180" s="468"/>
      <c r="U180" s="261"/>
      <c r="V180" s="261"/>
      <c r="W180" s="261"/>
      <c r="X180" s="262"/>
      <c r="Y180" s="261"/>
    </row>
    <row r="181" spans="2:25" ht="15.75" hidden="1" outlineLevel="1" thickBot="1" x14ac:dyDescent="0.3">
      <c r="B181" s="180"/>
      <c r="C181" s="357"/>
      <c r="D181" s="358"/>
      <c r="E181" s="185">
        <f t="shared" ref="E181:E202" si="14">C181+D181</f>
        <v>0</v>
      </c>
      <c r="F181" s="359"/>
      <c r="G181" s="349"/>
      <c r="H181" s="206"/>
      <c r="I181" s="206"/>
      <c r="J181" s="297">
        <f t="shared" ref="J181:J202" si="15">H181+I181</f>
        <v>0</v>
      </c>
      <c r="K181" s="309"/>
      <c r="L181" s="191"/>
      <c r="M181" s="194" t="str">
        <f t="shared" ref="M181:M202" si="16">IF(AND(G181&gt;0,OR(C181&gt;0,F181&gt;0,H181&gt;0)),(G181-F181)/G181,"")</f>
        <v/>
      </c>
      <c r="N181" s="193" t="str">
        <f t="shared" ref="N181:N202" si="17">IF(G181&gt;0,(IF(C181&gt;0,C181,H181))/G181,"")</f>
        <v/>
      </c>
      <c r="O181" s="195" t="str">
        <f t="shared" ref="O181:O202" si="18">IF(M181=100%,G181-(IF(C181&gt;0,C181,H181)),"")</f>
        <v/>
      </c>
      <c r="P181" s="252"/>
      <c r="Q181" s="466"/>
      <c r="R181" s="467"/>
      <c r="S181" s="467"/>
      <c r="T181" s="468"/>
      <c r="U181" s="261"/>
      <c r="V181" s="261"/>
      <c r="W181" s="261"/>
      <c r="X181" s="262"/>
      <c r="Y181" s="261"/>
    </row>
    <row r="182" spans="2:25" ht="15.75" hidden="1" outlineLevel="1" thickBot="1" x14ac:dyDescent="0.3">
      <c r="B182" s="180"/>
      <c r="C182" s="357"/>
      <c r="D182" s="358"/>
      <c r="E182" s="185">
        <f t="shared" si="14"/>
        <v>0</v>
      </c>
      <c r="F182" s="359"/>
      <c r="G182" s="349"/>
      <c r="H182" s="206"/>
      <c r="I182" s="206"/>
      <c r="J182" s="297">
        <f t="shared" si="15"/>
        <v>0</v>
      </c>
      <c r="K182" s="309"/>
      <c r="L182" s="191"/>
      <c r="M182" s="194" t="str">
        <f t="shared" si="16"/>
        <v/>
      </c>
      <c r="N182" s="193" t="str">
        <f t="shared" si="17"/>
        <v/>
      </c>
      <c r="O182" s="195" t="str">
        <f t="shared" si="18"/>
        <v/>
      </c>
      <c r="P182" s="252"/>
      <c r="Q182" s="466"/>
      <c r="R182" s="467"/>
      <c r="S182" s="467"/>
      <c r="T182" s="468"/>
      <c r="U182" s="261"/>
      <c r="V182" s="261"/>
      <c r="W182" s="261"/>
      <c r="X182" s="262"/>
      <c r="Y182" s="261"/>
    </row>
    <row r="183" spans="2:25" ht="15.75" hidden="1" outlineLevel="1" thickBot="1" x14ac:dyDescent="0.3">
      <c r="B183" s="180"/>
      <c r="C183" s="357"/>
      <c r="D183" s="358"/>
      <c r="E183" s="185">
        <f t="shared" si="14"/>
        <v>0</v>
      </c>
      <c r="F183" s="359"/>
      <c r="G183" s="349"/>
      <c r="H183" s="206"/>
      <c r="I183" s="206"/>
      <c r="J183" s="297">
        <f t="shared" si="15"/>
        <v>0</v>
      </c>
      <c r="K183" s="309"/>
      <c r="L183" s="191"/>
      <c r="M183" s="194" t="str">
        <f t="shared" si="16"/>
        <v/>
      </c>
      <c r="N183" s="193" t="str">
        <f t="shared" si="17"/>
        <v/>
      </c>
      <c r="O183" s="195" t="str">
        <f t="shared" si="18"/>
        <v/>
      </c>
      <c r="P183" s="252"/>
      <c r="Q183" s="466"/>
      <c r="R183" s="467"/>
      <c r="S183" s="467"/>
      <c r="T183" s="468"/>
      <c r="U183" s="261"/>
      <c r="V183" s="261"/>
      <c r="W183" s="261"/>
      <c r="X183" s="262"/>
      <c r="Y183" s="261"/>
    </row>
    <row r="184" spans="2:25" ht="15.75" hidden="1" outlineLevel="1" thickBot="1" x14ac:dyDescent="0.3">
      <c r="B184" s="180"/>
      <c r="C184" s="357"/>
      <c r="D184" s="358"/>
      <c r="E184" s="185">
        <f t="shared" si="14"/>
        <v>0</v>
      </c>
      <c r="F184" s="359"/>
      <c r="G184" s="349"/>
      <c r="H184" s="206"/>
      <c r="I184" s="206"/>
      <c r="J184" s="297">
        <f t="shared" si="15"/>
        <v>0</v>
      </c>
      <c r="K184" s="309"/>
      <c r="L184" s="191"/>
      <c r="M184" s="194" t="str">
        <f t="shared" si="16"/>
        <v/>
      </c>
      <c r="N184" s="193" t="str">
        <f t="shared" si="17"/>
        <v/>
      </c>
      <c r="O184" s="195" t="str">
        <f t="shared" si="18"/>
        <v/>
      </c>
      <c r="P184" s="252"/>
      <c r="Q184" s="466"/>
      <c r="R184" s="467"/>
      <c r="S184" s="467"/>
      <c r="T184" s="468"/>
      <c r="U184" s="261"/>
      <c r="V184" s="261"/>
      <c r="W184" s="261"/>
      <c r="X184" s="262"/>
      <c r="Y184" s="261"/>
    </row>
    <row r="185" spans="2:25" ht="15.75" hidden="1" outlineLevel="1" thickBot="1" x14ac:dyDescent="0.3">
      <c r="B185" s="180"/>
      <c r="C185" s="357"/>
      <c r="D185" s="358"/>
      <c r="E185" s="185">
        <f t="shared" si="14"/>
        <v>0</v>
      </c>
      <c r="F185" s="359"/>
      <c r="G185" s="349"/>
      <c r="H185" s="206"/>
      <c r="I185" s="206"/>
      <c r="J185" s="297">
        <f t="shared" si="15"/>
        <v>0</v>
      </c>
      <c r="K185" s="309"/>
      <c r="L185" s="191"/>
      <c r="M185" s="194" t="str">
        <f t="shared" si="16"/>
        <v/>
      </c>
      <c r="N185" s="193" t="str">
        <f t="shared" si="17"/>
        <v/>
      </c>
      <c r="O185" s="195" t="str">
        <f t="shared" si="18"/>
        <v/>
      </c>
      <c r="P185" s="252"/>
      <c r="Q185" s="466"/>
      <c r="R185" s="467"/>
      <c r="S185" s="467"/>
      <c r="T185" s="468"/>
      <c r="U185" s="261"/>
      <c r="V185" s="261"/>
      <c r="W185" s="261"/>
      <c r="X185" s="262"/>
      <c r="Y185" s="261"/>
    </row>
    <row r="186" spans="2:25" ht="15.75" hidden="1" outlineLevel="1" thickBot="1" x14ac:dyDescent="0.3">
      <c r="B186" s="180"/>
      <c r="C186" s="357"/>
      <c r="D186" s="358"/>
      <c r="E186" s="185">
        <f t="shared" si="14"/>
        <v>0</v>
      </c>
      <c r="F186" s="359"/>
      <c r="G186" s="349"/>
      <c r="H186" s="206"/>
      <c r="I186" s="206"/>
      <c r="J186" s="297">
        <f t="shared" si="15"/>
        <v>0</v>
      </c>
      <c r="K186" s="309"/>
      <c r="L186" s="191"/>
      <c r="M186" s="194" t="str">
        <f t="shared" si="16"/>
        <v/>
      </c>
      <c r="N186" s="193" t="str">
        <f t="shared" si="17"/>
        <v/>
      </c>
      <c r="O186" s="195" t="str">
        <f t="shared" si="18"/>
        <v/>
      </c>
      <c r="P186" s="252"/>
      <c r="Q186" s="466"/>
      <c r="R186" s="467"/>
      <c r="S186" s="467"/>
      <c r="T186" s="468"/>
      <c r="U186" s="261"/>
      <c r="V186" s="261"/>
      <c r="W186" s="261"/>
      <c r="X186" s="262"/>
      <c r="Y186" s="261"/>
    </row>
    <row r="187" spans="2:25" ht="15.75" hidden="1" outlineLevel="1" thickBot="1" x14ac:dyDescent="0.3">
      <c r="B187" s="180"/>
      <c r="C187" s="357"/>
      <c r="D187" s="358"/>
      <c r="E187" s="185">
        <f t="shared" si="14"/>
        <v>0</v>
      </c>
      <c r="F187" s="359"/>
      <c r="G187" s="349"/>
      <c r="H187" s="206"/>
      <c r="I187" s="206"/>
      <c r="J187" s="297">
        <f t="shared" si="15"/>
        <v>0</v>
      </c>
      <c r="K187" s="309"/>
      <c r="L187" s="191"/>
      <c r="M187" s="194" t="str">
        <f t="shared" si="16"/>
        <v/>
      </c>
      <c r="N187" s="193" t="str">
        <f t="shared" si="17"/>
        <v/>
      </c>
      <c r="O187" s="195" t="str">
        <f t="shared" si="18"/>
        <v/>
      </c>
      <c r="P187" s="252"/>
      <c r="Q187" s="466"/>
      <c r="R187" s="467"/>
      <c r="S187" s="467"/>
      <c r="T187" s="468"/>
      <c r="U187" s="261"/>
      <c r="V187" s="261"/>
      <c r="W187" s="261"/>
      <c r="X187" s="262"/>
      <c r="Y187" s="261"/>
    </row>
    <row r="188" spans="2:25" ht="15.75" hidden="1" outlineLevel="1" thickBot="1" x14ac:dyDescent="0.3">
      <c r="B188" s="180"/>
      <c r="C188" s="357"/>
      <c r="D188" s="358"/>
      <c r="E188" s="185">
        <f t="shared" si="14"/>
        <v>0</v>
      </c>
      <c r="F188" s="359"/>
      <c r="G188" s="349"/>
      <c r="H188" s="206"/>
      <c r="I188" s="206"/>
      <c r="J188" s="297">
        <f t="shared" si="15"/>
        <v>0</v>
      </c>
      <c r="K188" s="309"/>
      <c r="L188" s="191"/>
      <c r="M188" s="194" t="str">
        <f t="shared" si="16"/>
        <v/>
      </c>
      <c r="N188" s="193" t="str">
        <f t="shared" si="17"/>
        <v/>
      </c>
      <c r="O188" s="195" t="str">
        <f t="shared" si="18"/>
        <v/>
      </c>
      <c r="P188" s="252"/>
      <c r="Q188" s="466"/>
      <c r="R188" s="467"/>
      <c r="S188" s="467"/>
      <c r="T188" s="468"/>
      <c r="U188" s="261"/>
      <c r="V188" s="261"/>
      <c r="W188" s="261"/>
      <c r="X188" s="262"/>
      <c r="Y188" s="261"/>
    </row>
    <row r="189" spans="2:25" ht="15.75" hidden="1" outlineLevel="1" thickBot="1" x14ac:dyDescent="0.3">
      <c r="B189" s="180"/>
      <c r="C189" s="357"/>
      <c r="D189" s="358"/>
      <c r="E189" s="185">
        <f t="shared" si="14"/>
        <v>0</v>
      </c>
      <c r="F189" s="359"/>
      <c r="G189" s="349"/>
      <c r="H189" s="206"/>
      <c r="I189" s="206"/>
      <c r="J189" s="297">
        <f t="shared" si="15"/>
        <v>0</v>
      </c>
      <c r="K189" s="309"/>
      <c r="L189" s="191"/>
      <c r="M189" s="194" t="str">
        <f t="shared" si="16"/>
        <v/>
      </c>
      <c r="N189" s="193" t="str">
        <f t="shared" si="17"/>
        <v/>
      </c>
      <c r="O189" s="195" t="str">
        <f t="shared" si="18"/>
        <v/>
      </c>
      <c r="P189" s="252"/>
      <c r="Q189" s="466"/>
      <c r="R189" s="467"/>
      <c r="S189" s="467"/>
      <c r="T189" s="468"/>
      <c r="U189" s="261"/>
      <c r="V189" s="261"/>
      <c r="W189" s="261"/>
      <c r="X189" s="262"/>
      <c r="Y189" s="261"/>
    </row>
    <row r="190" spans="2:25" ht="15.75" hidden="1" outlineLevel="1" thickBot="1" x14ac:dyDescent="0.3">
      <c r="B190" s="180"/>
      <c r="C190" s="357"/>
      <c r="D190" s="358"/>
      <c r="E190" s="185">
        <f t="shared" si="14"/>
        <v>0</v>
      </c>
      <c r="F190" s="359"/>
      <c r="G190" s="349"/>
      <c r="H190" s="206"/>
      <c r="I190" s="206"/>
      <c r="J190" s="297">
        <f t="shared" si="15"/>
        <v>0</v>
      </c>
      <c r="K190" s="309"/>
      <c r="L190" s="191"/>
      <c r="M190" s="194" t="str">
        <f t="shared" si="16"/>
        <v/>
      </c>
      <c r="N190" s="193" t="str">
        <f t="shared" si="17"/>
        <v/>
      </c>
      <c r="O190" s="195" t="str">
        <f t="shared" si="18"/>
        <v/>
      </c>
      <c r="P190" s="252"/>
      <c r="Q190" s="466"/>
      <c r="R190" s="467"/>
      <c r="S190" s="467"/>
      <c r="T190" s="468"/>
      <c r="U190" s="261"/>
      <c r="V190" s="261"/>
      <c r="W190" s="261"/>
      <c r="X190" s="262"/>
      <c r="Y190" s="261"/>
    </row>
    <row r="191" spans="2:25" ht="15.75" hidden="1" outlineLevel="1" thickBot="1" x14ac:dyDescent="0.3">
      <c r="B191" s="180"/>
      <c r="C191" s="357"/>
      <c r="D191" s="358"/>
      <c r="E191" s="185">
        <f t="shared" si="14"/>
        <v>0</v>
      </c>
      <c r="F191" s="359"/>
      <c r="G191" s="349"/>
      <c r="H191" s="206"/>
      <c r="I191" s="206"/>
      <c r="J191" s="297">
        <f t="shared" si="15"/>
        <v>0</v>
      </c>
      <c r="K191" s="309"/>
      <c r="L191" s="191"/>
      <c r="M191" s="194" t="str">
        <f t="shared" si="16"/>
        <v/>
      </c>
      <c r="N191" s="193" t="str">
        <f t="shared" si="17"/>
        <v/>
      </c>
      <c r="O191" s="195" t="str">
        <f t="shared" si="18"/>
        <v/>
      </c>
      <c r="P191" s="252"/>
      <c r="Q191" s="466"/>
      <c r="R191" s="467"/>
      <c r="S191" s="467"/>
      <c r="T191" s="468"/>
      <c r="U191" s="261"/>
      <c r="V191" s="261"/>
      <c r="W191" s="261"/>
      <c r="X191" s="262"/>
      <c r="Y191" s="261"/>
    </row>
    <row r="192" spans="2:25" ht="15.75" hidden="1" outlineLevel="1" thickBot="1" x14ac:dyDescent="0.3">
      <c r="B192" s="180"/>
      <c r="C192" s="357"/>
      <c r="D192" s="358"/>
      <c r="E192" s="185">
        <f t="shared" si="14"/>
        <v>0</v>
      </c>
      <c r="F192" s="359"/>
      <c r="G192" s="349"/>
      <c r="H192" s="206"/>
      <c r="I192" s="206"/>
      <c r="J192" s="297">
        <f t="shared" si="15"/>
        <v>0</v>
      </c>
      <c r="K192" s="309"/>
      <c r="L192" s="191"/>
      <c r="M192" s="194" t="str">
        <f t="shared" si="16"/>
        <v/>
      </c>
      <c r="N192" s="193" t="str">
        <f t="shared" si="17"/>
        <v/>
      </c>
      <c r="O192" s="195" t="str">
        <f t="shared" si="18"/>
        <v/>
      </c>
      <c r="P192" s="252"/>
      <c r="Q192" s="466"/>
      <c r="R192" s="467"/>
      <c r="S192" s="467"/>
      <c r="T192" s="468"/>
      <c r="U192" s="261"/>
      <c r="V192" s="261"/>
      <c r="W192" s="261"/>
      <c r="X192" s="262"/>
      <c r="Y192" s="261"/>
    </row>
    <row r="193" spans="2:25" ht="15.75" hidden="1" outlineLevel="1" thickBot="1" x14ac:dyDescent="0.3">
      <c r="B193" s="180"/>
      <c r="C193" s="357"/>
      <c r="D193" s="358"/>
      <c r="E193" s="185">
        <f t="shared" si="14"/>
        <v>0</v>
      </c>
      <c r="F193" s="359"/>
      <c r="G193" s="349"/>
      <c r="H193" s="206"/>
      <c r="I193" s="206"/>
      <c r="J193" s="297">
        <f t="shared" si="15"/>
        <v>0</v>
      </c>
      <c r="K193" s="309"/>
      <c r="L193" s="191"/>
      <c r="M193" s="194" t="str">
        <f t="shared" si="16"/>
        <v/>
      </c>
      <c r="N193" s="193" t="str">
        <f t="shared" si="17"/>
        <v/>
      </c>
      <c r="O193" s="195" t="str">
        <f t="shared" si="18"/>
        <v/>
      </c>
      <c r="P193" s="252"/>
      <c r="Q193" s="466"/>
      <c r="R193" s="467"/>
      <c r="S193" s="467"/>
      <c r="T193" s="468"/>
      <c r="U193" s="261"/>
      <c r="V193" s="261"/>
      <c r="W193" s="261"/>
      <c r="X193" s="262"/>
      <c r="Y193" s="261"/>
    </row>
    <row r="194" spans="2:25" ht="15.75" hidden="1" outlineLevel="1" thickBot="1" x14ac:dyDescent="0.3">
      <c r="B194" s="180"/>
      <c r="C194" s="357"/>
      <c r="D194" s="358"/>
      <c r="E194" s="185">
        <f t="shared" si="14"/>
        <v>0</v>
      </c>
      <c r="F194" s="359"/>
      <c r="G194" s="349"/>
      <c r="H194" s="206"/>
      <c r="I194" s="206"/>
      <c r="J194" s="297">
        <f t="shared" si="15"/>
        <v>0</v>
      </c>
      <c r="K194" s="309"/>
      <c r="L194" s="191"/>
      <c r="M194" s="194" t="str">
        <f t="shared" si="16"/>
        <v/>
      </c>
      <c r="N194" s="193" t="str">
        <f t="shared" si="17"/>
        <v/>
      </c>
      <c r="O194" s="195" t="str">
        <f t="shared" si="18"/>
        <v/>
      </c>
      <c r="P194" s="252"/>
      <c r="Q194" s="466"/>
      <c r="R194" s="467"/>
      <c r="S194" s="467"/>
      <c r="T194" s="468"/>
      <c r="U194" s="261"/>
      <c r="V194" s="261"/>
      <c r="W194" s="261"/>
      <c r="X194" s="262"/>
      <c r="Y194" s="261"/>
    </row>
    <row r="195" spans="2:25" ht="15.75" hidden="1" outlineLevel="1" thickBot="1" x14ac:dyDescent="0.3">
      <c r="B195" s="180"/>
      <c r="C195" s="357"/>
      <c r="D195" s="358"/>
      <c r="E195" s="185">
        <f t="shared" si="14"/>
        <v>0</v>
      </c>
      <c r="F195" s="359"/>
      <c r="G195" s="349"/>
      <c r="H195" s="206"/>
      <c r="I195" s="206"/>
      <c r="J195" s="297">
        <f t="shared" si="15"/>
        <v>0</v>
      </c>
      <c r="K195" s="309"/>
      <c r="L195" s="191"/>
      <c r="M195" s="194" t="str">
        <f t="shared" si="16"/>
        <v/>
      </c>
      <c r="N195" s="193" t="str">
        <f t="shared" si="17"/>
        <v/>
      </c>
      <c r="O195" s="195" t="str">
        <f t="shared" si="18"/>
        <v/>
      </c>
      <c r="P195" s="252"/>
      <c r="Q195" s="466"/>
      <c r="R195" s="467"/>
      <c r="S195" s="467"/>
      <c r="T195" s="468"/>
      <c r="U195" s="261"/>
      <c r="V195" s="261"/>
      <c r="W195" s="261"/>
      <c r="X195" s="262"/>
      <c r="Y195" s="261"/>
    </row>
    <row r="196" spans="2:25" ht="15.75" hidden="1" outlineLevel="1" thickBot="1" x14ac:dyDescent="0.3">
      <c r="B196" s="180"/>
      <c r="C196" s="357"/>
      <c r="D196" s="358"/>
      <c r="E196" s="185">
        <f t="shared" si="14"/>
        <v>0</v>
      </c>
      <c r="F196" s="359"/>
      <c r="G196" s="349"/>
      <c r="H196" s="206"/>
      <c r="I196" s="206"/>
      <c r="J196" s="297">
        <f t="shared" si="15"/>
        <v>0</v>
      </c>
      <c r="K196" s="309"/>
      <c r="L196" s="191"/>
      <c r="M196" s="194" t="str">
        <f t="shared" si="16"/>
        <v/>
      </c>
      <c r="N196" s="193" t="str">
        <f t="shared" si="17"/>
        <v/>
      </c>
      <c r="O196" s="195" t="str">
        <f t="shared" si="18"/>
        <v/>
      </c>
      <c r="P196" s="252"/>
      <c r="Q196" s="466"/>
      <c r="R196" s="467"/>
      <c r="S196" s="467"/>
      <c r="T196" s="468"/>
      <c r="U196" s="261"/>
      <c r="V196" s="261"/>
      <c r="W196" s="261"/>
      <c r="X196" s="262"/>
      <c r="Y196" s="261"/>
    </row>
    <row r="197" spans="2:25" ht="15.75" hidden="1" outlineLevel="1" thickBot="1" x14ac:dyDescent="0.3">
      <c r="B197" s="180"/>
      <c r="C197" s="357"/>
      <c r="D197" s="358"/>
      <c r="E197" s="185">
        <f t="shared" si="14"/>
        <v>0</v>
      </c>
      <c r="F197" s="359"/>
      <c r="G197" s="349"/>
      <c r="H197" s="206"/>
      <c r="I197" s="206"/>
      <c r="J197" s="297">
        <f t="shared" si="15"/>
        <v>0</v>
      </c>
      <c r="K197" s="309"/>
      <c r="L197" s="191"/>
      <c r="M197" s="194" t="str">
        <f t="shared" si="16"/>
        <v/>
      </c>
      <c r="N197" s="193" t="str">
        <f t="shared" si="17"/>
        <v/>
      </c>
      <c r="O197" s="195" t="str">
        <f t="shared" si="18"/>
        <v/>
      </c>
      <c r="P197" s="252"/>
      <c r="Q197" s="466"/>
      <c r="R197" s="467"/>
      <c r="S197" s="467"/>
      <c r="T197" s="468"/>
      <c r="U197" s="261"/>
      <c r="V197" s="261"/>
      <c r="W197" s="261"/>
      <c r="X197" s="262"/>
      <c r="Y197" s="261"/>
    </row>
    <row r="198" spans="2:25" ht="15.75" hidden="1" outlineLevel="1" thickBot="1" x14ac:dyDescent="0.3">
      <c r="B198" s="180"/>
      <c r="C198" s="357"/>
      <c r="D198" s="358"/>
      <c r="E198" s="185">
        <f t="shared" si="14"/>
        <v>0</v>
      </c>
      <c r="F198" s="359"/>
      <c r="G198" s="349"/>
      <c r="H198" s="206"/>
      <c r="I198" s="206"/>
      <c r="J198" s="297">
        <f t="shared" si="15"/>
        <v>0</v>
      </c>
      <c r="K198" s="309"/>
      <c r="L198" s="191"/>
      <c r="M198" s="194" t="str">
        <f t="shared" si="16"/>
        <v/>
      </c>
      <c r="N198" s="193" t="str">
        <f t="shared" si="17"/>
        <v/>
      </c>
      <c r="O198" s="195" t="str">
        <f t="shared" si="18"/>
        <v/>
      </c>
      <c r="P198" s="252"/>
      <c r="Q198" s="466"/>
      <c r="R198" s="467"/>
      <c r="S198" s="467"/>
      <c r="T198" s="468"/>
      <c r="U198" s="261"/>
      <c r="V198" s="261"/>
      <c r="W198" s="261"/>
      <c r="X198" s="262"/>
      <c r="Y198" s="261"/>
    </row>
    <row r="199" spans="2:25" ht="15.75" hidden="1" outlineLevel="1" thickBot="1" x14ac:dyDescent="0.3">
      <c r="B199" s="180"/>
      <c r="C199" s="357"/>
      <c r="D199" s="358"/>
      <c r="E199" s="185">
        <f t="shared" si="14"/>
        <v>0</v>
      </c>
      <c r="F199" s="359"/>
      <c r="G199" s="349"/>
      <c r="H199" s="206"/>
      <c r="I199" s="206"/>
      <c r="J199" s="297">
        <f t="shared" si="15"/>
        <v>0</v>
      </c>
      <c r="K199" s="309"/>
      <c r="L199" s="191"/>
      <c r="M199" s="194" t="str">
        <f t="shared" si="16"/>
        <v/>
      </c>
      <c r="N199" s="193" t="str">
        <f t="shared" si="17"/>
        <v/>
      </c>
      <c r="O199" s="195" t="str">
        <f t="shared" si="18"/>
        <v/>
      </c>
      <c r="P199" s="252"/>
      <c r="Q199" s="466"/>
      <c r="R199" s="467"/>
      <c r="S199" s="467"/>
      <c r="T199" s="468"/>
      <c r="U199" s="261"/>
      <c r="V199" s="261"/>
      <c r="W199" s="261"/>
      <c r="X199" s="262"/>
      <c r="Y199" s="261"/>
    </row>
    <row r="200" spans="2:25" ht="15.75" hidden="1" outlineLevel="1" thickBot="1" x14ac:dyDescent="0.3">
      <c r="B200" s="180"/>
      <c r="C200" s="357"/>
      <c r="D200" s="358"/>
      <c r="E200" s="185">
        <f t="shared" si="14"/>
        <v>0</v>
      </c>
      <c r="F200" s="359"/>
      <c r="G200" s="349"/>
      <c r="H200" s="206"/>
      <c r="I200" s="206"/>
      <c r="J200" s="297">
        <f t="shared" si="15"/>
        <v>0</v>
      </c>
      <c r="K200" s="309"/>
      <c r="L200" s="191"/>
      <c r="M200" s="194" t="str">
        <f t="shared" si="16"/>
        <v/>
      </c>
      <c r="N200" s="193" t="str">
        <f t="shared" si="17"/>
        <v/>
      </c>
      <c r="O200" s="195" t="str">
        <f t="shared" si="18"/>
        <v/>
      </c>
      <c r="P200" s="252"/>
      <c r="Q200" s="466"/>
      <c r="R200" s="467"/>
      <c r="S200" s="467"/>
      <c r="T200" s="468"/>
      <c r="U200" s="261"/>
      <c r="V200" s="261"/>
      <c r="W200" s="261"/>
      <c r="X200" s="262"/>
      <c r="Y200" s="261"/>
    </row>
    <row r="201" spans="2:25" ht="15.75" hidden="1" outlineLevel="1" thickBot="1" x14ac:dyDescent="0.3">
      <c r="B201" s="180"/>
      <c r="C201" s="357"/>
      <c r="D201" s="358"/>
      <c r="E201" s="185">
        <f t="shared" si="14"/>
        <v>0</v>
      </c>
      <c r="F201" s="359"/>
      <c r="G201" s="349"/>
      <c r="H201" s="206"/>
      <c r="I201" s="206"/>
      <c r="J201" s="297">
        <f t="shared" si="15"/>
        <v>0</v>
      </c>
      <c r="K201" s="309"/>
      <c r="L201" s="191"/>
      <c r="M201" s="194" t="str">
        <f t="shared" si="16"/>
        <v/>
      </c>
      <c r="N201" s="193" t="str">
        <f t="shared" si="17"/>
        <v/>
      </c>
      <c r="O201" s="195" t="str">
        <f t="shared" si="18"/>
        <v/>
      </c>
      <c r="P201" s="252"/>
      <c r="Q201" s="466"/>
      <c r="R201" s="467"/>
      <c r="S201" s="467"/>
      <c r="T201" s="468"/>
      <c r="U201" s="261"/>
      <c r="V201" s="261"/>
      <c r="W201" s="261"/>
      <c r="X201" s="262"/>
      <c r="Y201" s="261"/>
    </row>
    <row r="202" spans="2:25" ht="15.75" hidden="1" outlineLevel="1" thickBot="1" x14ac:dyDescent="0.3">
      <c r="B202" s="180"/>
      <c r="C202" s="360"/>
      <c r="D202" s="361"/>
      <c r="E202" s="342">
        <f t="shared" si="14"/>
        <v>0</v>
      </c>
      <c r="F202" s="362"/>
      <c r="G202" s="349"/>
      <c r="H202" s="206"/>
      <c r="I202" s="206"/>
      <c r="J202" s="297">
        <f t="shared" si="15"/>
        <v>0</v>
      </c>
      <c r="K202" s="309"/>
      <c r="L202" s="191"/>
      <c r="M202" s="194" t="str">
        <f t="shared" si="16"/>
        <v/>
      </c>
      <c r="N202" s="193" t="str">
        <f t="shared" si="17"/>
        <v/>
      </c>
      <c r="O202" s="195" t="str">
        <f t="shared" si="18"/>
        <v/>
      </c>
      <c r="P202" s="252">
        <v>41045</v>
      </c>
      <c r="Q202" s="469"/>
      <c r="R202" s="470"/>
      <c r="S202" s="470"/>
      <c r="T202" s="471"/>
      <c r="U202" s="261"/>
      <c r="V202" s="261"/>
      <c r="W202" s="261"/>
      <c r="X202" s="262"/>
      <c r="Y202" s="261"/>
    </row>
    <row r="203" spans="2:25" collapsed="1" x14ac:dyDescent="0.25">
      <c r="B203" s="128"/>
      <c r="C203" s="278" t="s">
        <v>158</v>
      </c>
      <c r="D203" s="278" t="s">
        <v>159</v>
      </c>
      <c r="E203" s="278" t="s">
        <v>160</v>
      </c>
      <c r="F203" s="279"/>
      <c r="G203" s="280"/>
      <c r="H203" s="210"/>
      <c r="I203" s="211"/>
      <c r="J203" s="272"/>
      <c r="K203" s="273"/>
      <c r="L203" s="273"/>
      <c r="M203" s="281"/>
      <c r="N203" s="282"/>
      <c r="O203" s="283"/>
    </row>
    <row r="204" spans="2:25" ht="15.75" thickBot="1" x14ac:dyDescent="0.3">
      <c r="B204" s="129"/>
      <c r="C204" s="131">
        <f t="shared" ref="C204:J204" si="19">SUM(C52:C202)</f>
        <v>417.16700000000003</v>
      </c>
      <c r="D204" s="131">
        <f t="shared" si="19"/>
        <v>2983.7282999999998</v>
      </c>
      <c r="E204" s="131">
        <f t="shared" si="19"/>
        <v>3400.8953000000001</v>
      </c>
      <c r="F204" s="189">
        <f t="shared" si="19"/>
        <v>5883.985999999999</v>
      </c>
      <c r="G204" s="192">
        <f t="shared" si="19"/>
        <v>7411.7051999999994</v>
      </c>
      <c r="H204" s="213">
        <f t="shared" si="19"/>
        <v>798.94730000000004</v>
      </c>
      <c r="I204" s="214">
        <f t="shared" si="19"/>
        <v>33.055999999999997</v>
      </c>
      <c r="J204" s="274">
        <f t="shared" si="19"/>
        <v>832.00329999999997</v>
      </c>
      <c r="K204" s="275"/>
      <c r="L204" s="275"/>
      <c r="M204" s="201">
        <f>(G204-F204)/G204</f>
        <v>0.20612249931365328</v>
      </c>
      <c r="N204" s="200">
        <f>(C204+H204)/G204</f>
        <v>0.16408023082191669</v>
      </c>
      <c r="O204" s="199">
        <f>SUM(O36:O202)</f>
        <v>14.773400000000038</v>
      </c>
    </row>
    <row r="205" spans="2:25" ht="15.75" customHeight="1" thickBot="1" x14ac:dyDescent="0.3"/>
    <row r="206" spans="2:25" ht="15.75" customHeight="1" x14ac:dyDescent="0.25">
      <c r="B206" s="124"/>
      <c r="C206" s="68"/>
      <c r="D206" s="68"/>
      <c r="E206" s="127"/>
      <c r="F206" s="68"/>
      <c r="G206" s="68"/>
      <c r="H206" s="68"/>
      <c r="I206" s="68"/>
      <c r="J206" s="125"/>
      <c r="K206" s="305"/>
      <c r="M206" s="463" t="s">
        <v>161</v>
      </c>
      <c r="N206" s="464"/>
      <c r="O206" s="464"/>
      <c r="P206" s="464"/>
      <c r="Q206" s="465"/>
    </row>
    <row r="207" spans="2:25" ht="15.75" thickBot="1" x14ac:dyDescent="0.3">
      <c r="B207" s="67" t="s">
        <v>162</v>
      </c>
      <c r="C207" s="141" t="s">
        <v>163</v>
      </c>
      <c r="D207" s="155"/>
      <c r="E207" s="141" t="s">
        <v>113</v>
      </c>
      <c r="F207" s="142" t="s">
        <v>164</v>
      </c>
      <c r="G207" s="143" t="s">
        <v>119</v>
      </c>
      <c r="H207" s="123"/>
      <c r="I207" s="123"/>
      <c r="J207" s="126"/>
      <c r="K207" s="305"/>
      <c r="M207" s="466"/>
      <c r="N207" s="467"/>
      <c r="O207" s="467"/>
      <c r="P207" s="467"/>
      <c r="Q207" s="468"/>
    </row>
    <row r="208" spans="2:25" x14ac:dyDescent="0.25">
      <c r="B208" s="72"/>
      <c r="C208" s="88"/>
      <c r="D208" s="89"/>
      <c r="E208" s="96"/>
      <c r="F208" s="72"/>
      <c r="G208" s="493"/>
      <c r="H208" s="493"/>
      <c r="I208" s="493"/>
      <c r="J208" s="494"/>
      <c r="K208" s="306"/>
      <c r="M208" s="466"/>
      <c r="N208" s="467"/>
      <c r="O208" s="467"/>
      <c r="P208" s="467"/>
      <c r="Q208" s="468"/>
    </row>
    <row r="209" spans="1:18" x14ac:dyDescent="0.25">
      <c r="B209" s="58"/>
      <c r="C209" s="59"/>
      <c r="D209" s="59"/>
      <c r="E209" s="60"/>
      <c r="F209" s="58"/>
      <c r="G209" s="482"/>
      <c r="H209" s="482"/>
      <c r="I209" s="482"/>
      <c r="J209" s="483"/>
      <c r="K209" s="306"/>
      <c r="M209" s="466"/>
      <c r="N209" s="467"/>
      <c r="O209" s="467"/>
      <c r="P209" s="467"/>
      <c r="Q209" s="468"/>
      <c r="R209" s="258"/>
    </row>
    <row r="210" spans="1:18" x14ac:dyDescent="0.25">
      <c r="B210" s="58"/>
      <c r="C210" s="59"/>
      <c r="D210" s="59"/>
      <c r="E210" s="60"/>
      <c r="F210" s="58"/>
      <c r="G210" s="482"/>
      <c r="H210" s="482"/>
      <c r="I210" s="482"/>
      <c r="J210" s="483"/>
      <c r="K210" s="306"/>
      <c r="M210" s="466"/>
      <c r="N210" s="467"/>
      <c r="O210" s="467"/>
      <c r="P210" s="467"/>
      <c r="Q210" s="468"/>
      <c r="R210" s="258"/>
    </row>
    <row r="211" spans="1:18" x14ac:dyDescent="0.25">
      <c r="B211" s="58"/>
      <c r="C211" s="59"/>
      <c r="D211" s="59"/>
      <c r="E211" s="60"/>
      <c r="F211" s="58"/>
      <c r="G211" s="482"/>
      <c r="H211" s="482"/>
      <c r="I211" s="482"/>
      <c r="J211" s="483"/>
      <c r="K211" s="306"/>
      <c r="M211" s="466"/>
      <c r="N211" s="467"/>
      <c r="O211" s="467"/>
      <c r="P211" s="467"/>
      <c r="Q211" s="468"/>
      <c r="R211" s="258"/>
    </row>
    <row r="212" spans="1:18" x14ac:dyDescent="0.25">
      <c r="B212" s="58"/>
      <c r="C212" s="59"/>
      <c r="D212" s="59"/>
      <c r="E212" s="60"/>
      <c r="F212" s="58"/>
      <c r="G212" s="482"/>
      <c r="H212" s="482"/>
      <c r="I212" s="482"/>
      <c r="J212" s="483"/>
      <c r="K212" s="306"/>
      <c r="M212" s="466"/>
      <c r="N212" s="467"/>
      <c r="O212" s="467"/>
      <c r="P212" s="467"/>
      <c r="Q212" s="468"/>
      <c r="R212" s="258"/>
    </row>
    <row r="213" spans="1:18" x14ac:dyDescent="0.25">
      <c r="B213" s="58"/>
      <c r="C213" s="59"/>
      <c r="D213" s="59"/>
      <c r="E213" s="60"/>
      <c r="F213" s="58"/>
      <c r="G213" s="482"/>
      <c r="H213" s="482"/>
      <c r="I213" s="482"/>
      <c r="J213" s="483"/>
      <c r="K213" s="306"/>
      <c r="M213" s="466"/>
      <c r="N213" s="467"/>
      <c r="O213" s="467"/>
      <c r="P213" s="467"/>
      <c r="Q213" s="468"/>
      <c r="R213" s="258"/>
    </row>
    <row r="214" spans="1:18" x14ac:dyDescent="0.25">
      <c r="B214" s="61"/>
      <c r="C214" s="62"/>
      <c r="D214" s="62"/>
      <c r="E214" s="63"/>
      <c r="F214" s="61"/>
      <c r="G214" s="482"/>
      <c r="H214" s="482"/>
      <c r="I214" s="482"/>
      <c r="J214" s="483"/>
      <c r="K214" s="306"/>
      <c r="M214" s="466"/>
      <c r="N214" s="467"/>
      <c r="O214" s="467"/>
      <c r="P214" s="467"/>
      <c r="Q214" s="468"/>
      <c r="R214" s="258"/>
    </row>
    <row r="215" spans="1:18" ht="15.75" thickBot="1" x14ac:dyDescent="0.3">
      <c r="B215" s="64"/>
      <c r="C215" s="65"/>
      <c r="D215" s="65"/>
      <c r="E215" s="66"/>
      <c r="F215" s="61"/>
      <c r="G215" s="539"/>
      <c r="H215" s="539"/>
      <c r="I215" s="539"/>
      <c r="J215" s="540"/>
      <c r="K215" s="306"/>
      <c r="M215" s="466"/>
      <c r="N215" s="467"/>
      <c r="O215" s="467"/>
      <c r="P215" s="467"/>
      <c r="Q215" s="468"/>
      <c r="R215" s="258"/>
    </row>
    <row r="216" spans="1:18" ht="15.75" thickBot="1" x14ac:dyDescent="0.3">
      <c r="C216" s="67" t="s">
        <v>78</v>
      </c>
      <c r="D216" s="242"/>
      <c r="E216" s="268">
        <f>+SUM(E208:E215)</f>
        <v>0</v>
      </c>
      <c r="F216" s="269" t="s">
        <v>165</v>
      </c>
      <c r="G216" s="541"/>
      <c r="H216" s="541"/>
      <c r="I216" s="541"/>
      <c r="J216" s="542"/>
      <c r="K216" s="307"/>
      <c r="M216" s="469"/>
      <c r="N216" s="470"/>
      <c r="O216" s="470"/>
      <c r="P216" s="470"/>
      <c r="Q216" s="471"/>
      <c r="R216" s="258"/>
    </row>
    <row r="217" spans="1:18" ht="15.75" thickBot="1" x14ac:dyDescent="0.3"/>
    <row r="218" spans="1:18" x14ac:dyDescent="0.25">
      <c r="B218" s="14" t="s">
        <v>166</v>
      </c>
      <c r="C218" s="6" t="s">
        <v>76</v>
      </c>
      <c r="D218" s="6" t="s">
        <v>77</v>
      </c>
      <c r="E218" s="15" t="s">
        <v>167</v>
      </c>
      <c r="M218" s="463" t="s">
        <v>168</v>
      </c>
      <c r="N218" s="464"/>
      <c r="O218" s="464"/>
      <c r="P218" s="464"/>
      <c r="Q218" s="465"/>
      <c r="R218" s="258"/>
    </row>
    <row r="219" spans="1:18" x14ac:dyDescent="0.25">
      <c r="A219" s="130" t="s">
        <v>123</v>
      </c>
      <c r="B219" s="16" t="s">
        <v>169</v>
      </c>
      <c r="C219" s="3">
        <f>E220</f>
        <v>8383.9989999999998</v>
      </c>
      <c r="D219" s="3">
        <f>F48</f>
        <v>0</v>
      </c>
      <c r="E219" s="17">
        <f>C219-D219</f>
        <v>8383.9989999999998</v>
      </c>
      <c r="M219" s="466"/>
      <c r="N219" s="467"/>
      <c r="O219" s="467"/>
      <c r="P219" s="467"/>
      <c r="Q219" s="468"/>
      <c r="R219" s="258"/>
    </row>
    <row r="220" spans="1:18" x14ac:dyDescent="0.25">
      <c r="A220" s="130" t="s">
        <v>159</v>
      </c>
      <c r="B220" s="16" t="s">
        <v>170</v>
      </c>
      <c r="C220" s="3">
        <f>I24</f>
        <v>10568.78</v>
      </c>
      <c r="D220" s="3">
        <f>D204-H204</f>
        <v>2184.7809999999999</v>
      </c>
      <c r="E220" s="17">
        <f>C220-D220</f>
        <v>8383.9989999999998</v>
      </c>
      <c r="M220" s="466"/>
      <c r="N220" s="467"/>
      <c r="O220" s="467"/>
      <c r="P220" s="467"/>
      <c r="Q220" s="468"/>
      <c r="R220" s="258"/>
    </row>
    <row r="221" spans="1:18" x14ac:dyDescent="0.25">
      <c r="A221" s="130" t="s">
        <v>158</v>
      </c>
      <c r="B221" s="16" t="s">
        <v>171</v>
      </c>
      <c r="C221" s="3">
        <f>H24</f>
        <v>2096.5</v>
      </c>
      <c r="D221" s="3">
        <f>C204+H204</f>
        <v>1216.1143000000002</v>
      </c>
      <c r="E221" s="17">
        <f>C221-D221</f>
        <v>880.38569999999982</v>
      </c>
      <c r="M221" s="466"/>
      <c r="N221" s="467"/>
      <c r="O221" s="467"/>
      <c r="P221" s="467"/>
      <c r="Q221" s="468"/>
      <c r="R221" s="258"/>
    </row>
    <row r="222" spans="1:18" x14ac:dyDescent="0.25">
      <c r="A222" s="130" t="s">
        <v>114</v>
      </c>
      <c r="B222" s="16" t="s">
        <v>55</v>
      </c>
      <c r="C222" s="3">
        <f>D24</f>
        <v>250</v>
      </c>
      <c r="D222" s="3">
        <f>C29</f>
        <v>0</v>
      </c>
      <c r="E222" s="17">
        <f>C222-D222</f>
        <v>250</v>
      </c>
      <c r="M222" s="466"/>
      <c r="N222" s="467"/>
      <c r="O222" s="467"/>
      <c r="P222" s="467"/>
      <c r="Q222" s="468"/>
      <c r="R222" s="258"/>
    </row>
    <row r="223" spans="1:18" x14ac:dyDescent="0.25">
      <c r="A223" s="130" t="s">
        <v>115</v>
      </c>
      <c r="B223" s="16" t="s">
        <v>79</v>
      </c>
      <c r="C223" s="3">
        <f>F24</f>
        <v>1000</v>
      </c>
      <c r="D223" s="3">
        <f>E29</f>
        <v>1735.75</v>
      </c>
      <c r="E223" s="17">
        <f>C223-D223</f>
        <v>-735.75</v>
      </c>
      <c r="M223" s="466"/>
      <c r="N223" s="467"/>
      <c r="O223" s="467"/>
      <c r="P223" s="467"/>
      <c r="Q223" s="468"/>
      <c r="R223" s="258"/>
    </row>
    <row r="224" spans="1:18" ht="15.75" thickBot="1" x14ac:dyDescent="0.3">
      <c r="A224" s="130" t="s">
        <v>165</v>
      </c>
      <c r="B224" s="16" t="s">
        <v>172</v>
      </c>
      <c r="C224" s="3">
        <v>0</v>
      </c>
      <c r="D224" s="69">
        <f>+E216</f>
        <v>0</v>
      </c>
      <c r="E224" s="17"/>
      <c r="M224" s="466"/>
      <c r="N224" s="467"/>
      <c r="O224" s="467"/>
      <c r="P224" s="467"/>
      <c r="Q224" s="468"/>
      <c r="R224" s="258"/>
    </row>
    <row r="225" spans="2:18" ht="15.75" thickBot="1" x14ac:dyDescent="0.3">
      <c r="B225" s="247" t="s">
        <v>78</v>
      </c>
      <c r="C225" s="248">
        <f>SUM(C220:C223)</f>
        <v>13915.28</v>
      </c>
      <c r="D225" s="248">
        <f>SUM(D219:D224)</f>
        <v>5136.6453000000001</v>
      </c>
      <c r="E225" s="249">
        <f>E223+E222+E221+E219</f>
        <v>8778.6346999999987</v>
      </c>
      <c r="M225" s="466"/>
      <c r="N225" s="467"/>
      <c r="O225" s="467"/>
      <c r="P225" s="467"/>
      <c r="Q225" s="468"/>
      <c r="R225" s="258"/>
    </row>
    <row r="226" spans="2:18" x14ac:dyDescent="0.25">
      <c r="B226" s="28" t="s">
        <v>173</v>
      </c>
      <c r="C226" s="245"/>
      <c r="D226" s="246">
        <f>+C226*50</f>
        <v>0</v>
      </c>
      <c r="E226" s="150"/>
      <c r="G226" s="508" t="s">
        <v>174</v>
      </c>
      <c r="H226" s="509"/>
      <c r="I226" s="510"/>
      <c r="M226" s="466"/>
      <c r="N226" s="467"/>
      <c r="O226" s="467"/>
      <c r="P226" s="467"/>
      <c r="Q226" s="468"/>
      <c r="R226" s="258"/>
    </row>
    <row r="227" spans="2:18" x14ac:dyDescent="0.25">
      <c r="B227" s="28" t="s">
        <v>175</v>
      </c>
      <c r="C227" s="135"/>
      <c r="D227" s="154">
        <f>+C227*50</f>
        <v>0</v>
      </c>
      <c r="E227" s="150"/>
      <c r="G227" s="511"/>
      <c r="H227" s="512"/>
      <c r="I227" s="513"/>
      <c r="M227" s="466"/>
      <c r="N227" s="467"/>
      <c r="O227" s="467"/>
      <c r="P227" s="467"/>
      <c r="Q227" s="468"/>
      <c r="R227" s="258"/>
    </row>
    <row r="228" spans="2:18" x14ac:dyDescent="0.25">
      <c r="B228" s="16" t="s">
        <v>176</v>
      </c>
      <c r="D228" s="183">
        <f>F204</f>
        <v>5883.985999999999</v>
      </c>
      <c r="E228" s="151"/>
      <c r="G228" s="511"/>
      <c r="H228" s="512"/>
      <c r="I228" s="513"/>
      <c r="M228" s="466"/>
      <c r="N228" s="467"/>
      <c r="O228" s="467"/>
      <c r="P228" s="467"/>
      <c r="Q228" s="468"/>
      <c r="R228" s="258"/>
    </row>
    <row r="229" spans="2:18" ht="15.75" thickBot="1" x14ac:dyDescent="0.3">
      <c r="B229" s="16" t="s">
        <v>177</v>
      </c>
      <c r="D229" s="144">
        <v>0</v>
      </c>
      <c r="E229" s="152"/>
      <c r="G229" s="514"/>
      <c r="H229" s="515"/>
      <c r="I229" s="516"/>
      <c r="M229" s="466"/>
      <c r="N229" s="467"/>
      <c r="O229" s="467"/>
      <c r="P229" s="467"/>
      <c r="Q229" s="468"/>
      <c r="R229" s="258"/>
    </row>
    <row r="230" spans="2:18" ht="15.75" thickBot="1" x14ac:dyDescent="0.3">
      <c r="B230" s="90" t="s">
        <v>62</v>
      </c>
      <c r="C230" s="93">
        <f>J24</f>
        <v>13915.28</v>
      </c>
      <c r="D230" s="93">
        <f>D229+D225+D228+D227+D226</f>
        <v>11020.631299999999</v>
      </c>
      <c r="E230" s="91">
        <f>C230-D230</f>
        <v>2894.6487000000016</v>
      </c>
      <c r="M230" s="466"/>
      <c r="N230" s="467"/>
      <c r="O230" s="467"/>
      <c r="P230" s="467"/>
      <c r="Q230" s="468"/>
      <c r="R230" s="258"/>
    </row>
    <row r="231" spans="2:18" ht="15.75" thickBot="1" x14ac:dyDescent="0.3">
      <c r="B231" s="92" t="s">
        <v>178</v>
      </c>
      <c r="C231" s="94">
        <f>F4</f>
        <v>27274.5</v>
      </c>
      <c r="D231" s="95">
        <f>C231-D230</f>
        <v>16253.868700000001</v>
      </c>
      <c r="E231" s="22">
        <f>D230/C230</f>
        <v>0.7919805638118671</v>
      </c>
      <c r="M231" s="469"/>
      <c r="N231" s="470"/>
      <c r="O231" s="470"/>
      <c r="P231" s="470"/>
      <c r="Q231" s="471"/>
      <c r="R231" s="258"/>
    </row>
    <row r="232" spans="2:18" x14ac:dyDescent="0.25">
      <c r="D232" s="25"/>
    </row>
    <row r="233" spans="2:18" ht="23.25" x14ac:dyDescent="0.35">
      <c r="D233" s="23" t="s">
        <v>179</v>
      </c>
      <c r="E233" s="24">
        <f>(C231-(D230*1.05))/C231</f>
        <v>0.57573327228730131</v>
      </c>
    </row>
    <row r="238" spans="2:18" x14ac:dyDescent="0.25">
      <c r="E238"/>
    </row>
    <row r="239" spans="2:18" x14ac:dyDescent="0.25">
      <c r="E239"/>
    </row>
    <row r="240" spans="2:18" x14ac:dyDescent="0.25">
      <c r="E240"/>
    </row>
    <row r="241" spans="5:5" x14ac:dyDescent="0.25">
      <c r="E241"/>
    </row>
  </sheetData>
  <protectedRanges>
    <protectedRange sqref="B208:L208" name="Bereich1"/>
    <protectedRange sqref="N214" name="Bereich1_1"/>
  </protectedRanges>
  <mergeCells count="52">
    <mergeCell ref="B2:J2"/>
    <mergeCell ref="M2:R15"/>
    <mergeCell ref="C6:J6"/>
    <mergeCell ref="C7:J7"/>
    <mergeCell ref="C8:J8"/>
    <mergeCell ref="C9:J9"/>
    <mergeCell ref="B11:J11"/>
    <mergeCell ref="B12:B13"/>
    <mergeCell ref="C12:D12"/>
    <mergeCell ref="E12:F12"/>
    <mergeCell ref="D31:E31"/>
    <mergeCell ref="D32:E32"/>
    <mergeCell ref="D33:E33"/>
    <mergeCell ref="D34:E34"/>
    <mergeCell ref="D35:E35"/>
    <mergeCell ref="G12:H12"/>
    <mergeCell ref="J12:J13"/>
    <mergeCell ref="M17:R19"/>
    <mergeCell ref="M21:R38"/>
    <mergeCell ref="F26:G26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B49:J49"/>
    <mergeCell ref="Q49:Y49"/>
    <mergeCell ref="C50:F50"/>
    <mergeCell ref="H50:J50"/>
    <mergeCell ref="M50:O50"/>
    <mergeCell ref="Q50:T202"/>
    <mergeCell ref="U50:V50"/>
    <mergeCell ref="W50:Z50"/>
    <mergeCell ref="M218:Q231"/>
    <mergeCell ref="G226:I229"/>
    <mergeCell ref="M206:Q216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</mergeCells>
  <conditionalFormatting sqref="E231">
    <cfRule type="colorScale" priority="16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E233">
    <cfRule type="cellIs" dxfId="27" priority="13" stopIfTrue="1" operator="lessThanOrEqual">
      <formula>0.2</formula>
    </cfRule>
    <cfRule type="cellIs" dxfId="26" priority="14" operator="lessThanOrEqual">
      <formula>0.28</formula>
    </cfRule>
    <cfRule type="cellIs" dxfId="25" priority="15" operator="greaterThan">
      <formula>0.28</formula>
    </cfRule>
  </conditionalFormatting>
  <conditionalFormatting sqref="F52:F202">
    <cfRule type="expression" dxfId="24" priority="12">
      <formula>$F52&gt;$G52</formula>
    </cfRule>
  </conditionalFormatting>
  <conditionalFormatting sqref="H4">
    <cfRule type="expression" dxfId="23" priority="10">
      <formula>$H$4&gt;$G$4</formula>
    </cfRule>
    <cfRule type="expression" dxfId="22" priority="11">
      <formula>$H$4&lt;=$G$4</formula>
    </cfRule>
  </conditionalFormatting>
  <conditionalFormatting sqref="I4">
    <cfRule type="colorScale" priority="9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M52:O202">
    <cfRule type="expression" dxfId="21" priority="4">
      <formula>$M52&lt;0%</formula>
    </cfRule>
    <cfRule type="expression" dxfId="20" priority="5">
      <formula>$M52=0%</formula>
    </cfRule>
    <cfRule type="expression" dxfId="19" priority="6" stopIfTrue="1">
      <formula>AND($M52=100%,$N52&gt;100%)</formula>
    </cfRule>
    <cfRule type="expression" dxfId="18" priority="7" stopIfTrue="1">
      <formula>AND($M52=100%,$N52&lt;=100%)</formula>
    </cfRule>
    <cfRule type="expression" dxfId="17" priority="8" stopIfTrue="1">
      <formula>AND($N52&gt;($M52),$M52&gt;0)</formula>
    </cfRule>
  </conditionalFormatting>
  <conditionalFormatting sqref="M204:O204">
    <cfRule type="expression" dxfId="16" priority="1" stopIfTrue="1">
      <formula>AND($M204=100%,$N204&gt;100%)</formula>
    </cfRule>
    <cfRule type="expression" dxfId="15" priority="2" stopIfTrue="1">
      <formula>AND($M204=100%,$N204&lt;=100%)</formula>
    </cfRule>
    <cfRule type="expression" dxfId="14" priority="3" stopIfTrue="1">
      <formula>$N204&gt;$M204</formula>
    </cfRule>
  </conditionalFormatting>
  <pageMargins left="0.25" right="0.25" top="0.75" bottom="0.75" header="0.3" footer="0.3"/>
  <pageSetup paperSize="9" scale="52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EF27-7F9C-49D8-AC0E-865E8DF8FFC4}">
  <sheetPr>
    <pageSetUpPr fitToPage="1"/>
  </sheetPr>
  <dimension ref="A1:Z241"/>
  <sheetViews>
    <sheetView showGridLines="0" topLeftCell="A38" zoomScaleNormal="100" workbookViewId="0">
      <selection activeCell="L43" sqref="L43"/>
    </sheetView>
  </sheetViews>
  <sheetFormatPr baseColWidth="10" defaultColWidth="11.42578125" defaultRowHeight="15" outlineLevelRow="1" x14ac:dyDescent="0.25"/>
  <cols>
    <col min="1" max="1" width="6.42578125" customWidth="1"/>
    <col min="2" max="2" width="27" bestFit="1" customWidth="1"/>
    <col min="3" max="3" width="12.42578125" bestFit="1" customWidth="1"/>
    <col min="4" max="4" width="17.140625" bestFit="1" customWidth="1"/>
    <col min="5" max="5" width="17.42578125" style="2" bestFit="1" customWidth="1"/>
    <col min="6" max="6" width="14.140625" customWidth="1"/>
    <col min="7" max="7" width="18.140625" customWidth="1"/>
    <col min="8" max="8" width="13.140625" customWidth="1"/>
    <col min="9" max="9" width="15" customWidth="1"/>
    <col min="10" max="10" width="13" bestFit="1" customWidth="1"/>
    <col min="11" max="11" width="16.5703125" customWidth="1"/>
    <col min="12" max="12" width="48.5703125" customWidth="1"/>
    <col min="13" max="13" width="12" customWidth="1"/>
    <col min="14" max="14" width="12.85546875" customWidth="1"/>
    <col min="15" max="15" width="17.42578125" customWidth="1"/>
    <col min="17" max="18" width="12" customWidth="1"/>
    <col min="19" max="20" width="14" customWidth="1"/>
    <col min="21" max="25" width="12" customWidth="1"/>
  </cols>
  <sheetData>
    <row r="1" spans="2:18" ht="15.75" thickBot="1" x14ac:dyDescent="0.3"/>
    <row r="2" spans="2:18" s="1" customFormat="1" x14ac:dyDescent="0.25">
      <c r="B2" s="454"/>
      <c r="C2" s="455"/>
      <c r="D2" s="455"/>
      <c r="E2" s="455"/>
      <c r="F2" s="455"/>
      <c r="G2" s="455"/>
      <c r="H2" s="455"/>
      <c r="I2" s="455"/>
      <c r="J2" s="456"/>
      <c r="K2" s="298"/>
      <c r="L2" s="2"/>
      <c r="M2" s="521" t="s">
        <v>180</v>
      </c>
      <c r="N2" s="522"/>
      <c r="O2" s="522"/>
      <c r="P2" s="522"/>
      <c r="Q2" s="522"/>
      <c r="R2" s="523"/>
    </row>
    <row r="3" spans="2:18" s="2" customFormat="1" x14ac:dyDescent="0.25">
      <c r="B3" s="145" t="s">
        <v>103</v>
      </c>
      <c r="C3" s="5" t="s">
        <v>32</v>
      </c>
      <c r="D3" s="146" t="s">
        <v>10</v>
      </c>
      <c r="E3" s="146" t="s">
        <v>8</v>
      </c>
      <c r="F3" s="146" t="s">
        <v>16</v>
      </c>
      <c r="G3" s="5" t="s">
        <v>28</v>
      </c>
      <c r="H3" s="146" t="s">
        <v>104</v>
      </c>
      <c r="I3" s="146" t="s">
        <v>58</v>
      </c>
      <c r="J3" s="147" t="s">
        <v>105</v>
      </c>
      <c r="K3" s="298"/>
      <c r="L3"/>
      <c r="M3" s="524"/>
      <c r="N3" s="525"/>
      <c r="O3" s="525"/>
      <c r="P3" s="525"/>
      <c r="Q3" s="525"/>
      <c r="R3" s="526"/>
    </row>
    <row r="4" spans="2:18" ht="15.75" thickBot="1" x14ac:dyDescent="0.3">
      <c r="B4" s="8" t="str">
        <f>+Info!B7</f>
        <v>PFEIFFER BENELUX</v>
      </c>
      <c r="C4" s="9" t="str">
        <f>+Info!B15</f>
        <v>Plomer</v>
      </c>
      <c r="D4" s="10" t="str">
        <f>+Info!B6</f>
        <v>P47551</v>
      </c>
      <c r="E4" s="11" t="str">
        <f>+Info!B5</f>
        <v>B</v>
      </c>
      <c r="F4" s="11">
        <f>+Info!B9+Info!B11+Info!C11+Info!D11+Info!E11</f>
        <v>27274.5</v>
      </c>
      <c r="G4" s="12">
        <f>+Info!B13</f>
        <v>45915</v>
      </c>
      <c r="H4" s="12"/>
      <c r="I4" s="29">
        <f>(F4-(J24*1.05))/F4</f>
        <v>0.46429654072485282</v>
      </c>
      <c r="J4" s="13"/>
      <c r="K4" s="299"/>
      <c r="M4" s="524"/>
      <c r="N4" s="525"/>
      <c r="O4" s="525"/>
      <c r="P4" s="525"/>
      <c r="Q4" s="525"/>
      <c r="R4" s="526"/>
    </row>
    <row r="5" spans="2:18" ht="15.75" thickBot="1" x14ac:dyDescent="0.3">
      <c r="E5"/>
      <c r="K5" s="300"/>
      <c r="M5" s="524"/>
      <c r="N5" s="525"/>
      <c r="O5" s="525"/>
      <c r="P5" s="525"/>
      <c r="Q5" s="525"/>
      <c r="R5" s="526"/>
    </row>
    <row r="6" spans="2:18" ht="15.75" thickBot="1" x14ac:dyDescent="0.3">
      <c r="B6" s="70"/>
      <c r="C6" s="457"/>
      <c r="D6" s="458"/>
      <c r="E6" s="458"/>
      <c r="F6" s="458"/>
      <c r="G6" s="458"/>
      <c r="H6" s="458"/>
      <c r="I6" s="458"/>
      <c r="J6" s="459"/>
      <c r="K6" s="301"/>
      <c r="M6" s="524"/>
      <c r="N6" s="525"/>
      <c r="O6" s="525"/>
      <c r="P6" s="525"/>
      <c r="Q6" s="525"/>
      <c r="R6" s="526"/>
    </row>
    <row r="7" spans="2:18" ht="15.75" thickBot="1" x14ac:dyDescent="0.3">
      <c r="B7" s="43" t="s">
        <v>38</v>
      </c>
      <c r="C7" s="457" t="str">
        <f>+Info!B19</f>
        <v>TR-8880-19709</v>
      </c>
      <c r="D7" s="458"/>
      <c r="E7" s="458"/>
      <c r="F7" s="458"/>
      <c r="G7" s="458"/>
      <c r="H7" s="458"/>
      <c r="I7" s="458"/>
      <c r="J7" s="459"/>
      <c r="K7" s="301"/>
      <c r="L7" s="1"/>
      <c r="M7" s="524"/>
      <c r="N7" s="525"/>
      <c r="O7" s="525"/>
      <c r="P7" s="525"/>
      <c r="Q7" s="525"/>
      <c r="R7" s="526"/>
    </row>
    <row r="8" spans="2:18" s="1" customFormat="1" ht="15.75" thickBot="1" x14ac:dyDescent="0.3">
      <c r="B8" s="7" t="s">
        <v>40</v>
      </c>
      <c r="C8" s="457" t="str">
        <f>+Info!B20</f>
        <v>kundenspezfische Hochvakuumkammer DN600 Horizontal Länge: 900 mm</v>
      </c>
      <c r="D8" s="458"/>
      <c r="E8" s="458"/>
      <c r="F8" s="458"/>
      <c r="G8" s="458"/>
      <c r="H8" s="458"/>
      <c r="I8" s="458"/>
      <c r="J8" s="459"/>
      <c r="K8" s="301"/>
      <c r="L8"/>
      <c r="M8" s="524"/>
      <c r="N8" s="525"/>
      <c r="O8" s="525"/>
      <c r="P8" s="525"/>
      <c r="Q8" s="525"/>
      <c r="R8" s="526"/>
    </row>
    <row r="9" spans="2:18" ht="15" customHeight="1" thickBot="1" x14ac:dyDescent="0.3">
      <c r="B9" s="71" t="s">
        <v>107</v>
      </c>
      <c r="C9" s="460">
        <f>+Info!B21</f>
        <v>0</v>
      </c>
      <c r="D9" s="461"/>
      <c r="E9" s="461"/>
      <c r="F9" s="461"/>
      <c r="G9" s="461"/>
      <c r="H9" s="461"/>
      <c r="I9" s="461"/>
      <c r="J9" s="462"/>
      <c r="K9" s="301"/>
      <c r="M9" s="524"/>
      <c r="N9" s="525"/>
      <c r="O9" s="525"/>
      <c r="P9" s="525"/>
      <c r="Q9" s="525"/>
      <c r="R9" s="526"/>
    </row>
    <row r="10" spans="2:18" ht="15.75" thickBot="1" x14ac:dyDescent="0.3">
      <c r="E10"/>
      <c r="K10" s="300"/>
      <c r="M10" s="524"/>
      <c r="N10" s="525"/>
      <c r="O10" s="525"/>
      <c r="P10" s="525"/>
      <c r="Q10" s="525"/>
      <c r="R10" s="526"/>
    </row>
    <row r="11" spans="2:18" ht="15.75" thickBot="1" x14ac:dyDescent="0.3">
      <c r="B11" s="495" t="s">
        <v>108</v>
      </c>
      <c r="C11" s="532"/>
      <c r="D11" s="532"/>
      <c r="E11" s="532"/>
      <c r="F11" s="532"/>
      <c r="G11" s="532"/>
      <c r="H11" s="532"/>
      <c r="I11" s="532"/>
      <c r="J11" s="497"/>
      <c r="K11" s="302"/>
      <c r="L11" s="2"/>
      <c r="M11" s="524"/>
      <c r="N11" s="525"/>
      <c r="O11" s="525"/>
      <c r="P11" s="525"/>
      <c r="Q11" s="525"/>
      <c r="R11" s="526"/>
    </row>
    <row r="12" spans="2:18" x14ac:dyDescent="0.25">
      <c r="B12" s="533"/>
      <c r="C12" s="503" t="s">
        <v>110</v>
      </c>
      <c r="D12" s="501"/>
      <c r="E12" s="501" t="s">
        <v>111</v>
      </c>
      <c r="F12" s="501"/>
      <c r="G12" s="501" t="s">
        <v>56</v>
      </c>
      <c r="H12" s="501"/>
      <c r="I12" s="244" t="s">
        <v>57</v>
      </c>
      <c r="J12" s="530" t="s">
        <v>78</v>
      </c>
      <c r="K12" s="303"/>
      <c r="M12" s="524"/>
      <c r="N12" s="525"/>
      <c r="O12" s="525"/>
      <c r="P12" s="525"/>
      <c r="Q12" s="525"/>
      <c r="R12" s="526"/>
    </row>
    <row r="13" spans="2:18" ht="15.75" thickBot="1" x14ac:dyDescent="0.3">
      <c r="B13" s="534"/>
      <c r="C13" s="83" t="s">
        <v>112</v>
      </c>
      <c r="D13" s="20" t="s">
        <v>113</v>
      </c>
      <c r="E13" s="21" t="s">
        <v>112</v>
      </c>
      <c r="F13" s="20" t="s">
        <v>113</v>
      </c>
      <c r="G13" s="20" t="s">
        <v>112</v>
      </c>
      <c r="H13" s="20" t="s">
        <v>113</v>
      </c>
      <c r="I13" s="241" t="s">
        <v>113</v>
      </c>
      <c r="J13" s="531"/>
      <c r="K13" s="303"/>
      <c r="M13" s="524"/>
      <c r="N13" s="525"/>
      <c r="O13" s="525"/>
      <c r="P13" s="525"/>
      <c r="Q13" s="525"/>
      <c r="R13" s="526"/>
    </row>
    <row r="14" spans="2:18" x14ac:dyDescent="0.25">
      <c r="B14" s="239" t="s">
        <v>190</v>
      </c>
      <c r="C14" s="84">
        <v>5</v>
      </c>
      <c r="D14" s="350">
        <v>250</v>
      </c>
      <c r="E14" s="36">
        <v>20</v>
      </c>
      <c r="F14" s="351">
        <v>1000</v>
      </c>
      <c r="G14" s="36"/>
      <c r="H14" s="38">
        <v>2096.5</v>
      </c>
      <c r="I14" s="243">
        <v>10568.78</v>
      </c>
      <c r="J14" s="352">
        <v>13915.28</v>
      </c>
      <c r="K14" s="304"/>
      <c r="M14" s="524"/>
      <c r="N14" s="525"/>
      <c r="O14" s="525"/>
      <c r="P14" s="525"/>
      <c r="Q14" s="525"/>
      <c r="R14" s="526"/>
    </row>
    <row r="15" spans="2:18" ht="15.75" thickBot="1" x14ac:dyDescent="0.3">
      <c r="B15" s="240"/>
      <c r="C15" s="86"/>
      <c r="D15" s="350">
        <f t="shared" ref="D15:D23" si="0">C15*53</f>
        <v>0</v>
      </c>
      <c r="E15" s="34"/>
      <c r="F15" s="351">
        <f t="shared" ref="F15:F23" si="1">E15*53</f>
        <v>0</v>
      </c>
      <c r="G15" s="34"/>
      <c r="H15" s="35"/>
      <c r="I15" s="243"/>
      <c r="J15" s="353">
        <f t="shared" ref="J15:J23" si="2">+D15+F15+H15+I15</f>
        <v>0</v>
      </c>
      <c r="K15" s="304"/>
      <c r="M15" s="527"/>
      <c r="N15" s="528"/>
      <c r="O15" s="528"/>
      <c r="P15" s="528"/>
      <c r="Q15" s="528"/>
      <c r="R15" s="529"/>
    </row>
    <row r="16" spans="2:18" ht="15.75" thickBot="1" x14ac:dyDescent="0.3">
      <c r="B16" s="240"/>
      <c r="C16" s="86"/>
      <c r="D16" s="350">
        <f t="shared" si="0"/>
        <v>0</v>
      </c>
      <c r="E16" s="34"/>
      <c r="F16" s="351">
        <f t="shared" si="1"/>
        <v>0</v>
      </c>
      <c r="G16" s="34"/>
      <c r="H16" s="35"/>
      <c r="I16" s="243"/>
      <c r="J16" s="353">
        <f t="shared" si="2"/>
        <v>0</v>
      </c>
      <c r="K16" s="26"/>
      <c r="L16" s="1"/>
    </row>
    <row r="17" spans="2:18" x14ac:dyDescent="0.25">
      <c r="B17" s="240"/>
      <c r="C17" s="86"/>
      <c r="D17" s="350">
        <f t="shared" si="0"/>
        <v>0</v>
      </c>
      <c r="E17" s="34"/>
      <c r="F17" s="351">
        <f t="shared" si="1"/>
        <v>0</v>
      </c>
      <c r="G17" s="34"/>
      <c r="H17" s="35"/>
      <c r="I17" s="243"/>
      <c r="J17" s="353">
        <f t="shared" si="2"/>
        <v>0</v>
      </c>
      <c r="K17" s="26"/>
      <c r="M17" s="463" t="s">
        <v>116</v>
      </c>
      <c r="N17" s="464"/>
      <c r="O17" s="464"/>
      <c r="P17" s="464"/>
      <c r="Q17" s="464"/>
      <c r="R17" s="465"/>
    </row>
    <row r="18" spans="2:18" x14ac:dyDescent="0.25">
      <c r="B18" s="240"/>
      <c r="C18" s="86"/>
      <c r="D18" s="350">
        <f t="shared" si="0"/>
        <v>0</v>
      </c>
      <c r="E18" s="34"/>
      <c r="F18" s="351">
        <f t="shared" si="1"/>
        <v>0</v>
      </c>
      <c r="G18" s="34"/>
      <c r="H18" s="35"/>
      <c r="I18" s="243"/>
      <c r="J18" s="353">
        <f t="shared" si="2"/>
        <v>0</v>
      </c>
      <c r="K18" s="26"/>
      <c r="M18" s="466"/>
      <c r="N18" s="467"/>
      <c r="O18" s="467"/>
      <c r="P18" s="467"/>
      <c r="Q18" s="467"/>
      <c r="R18" s="468"/>
    </row>
    <row r="19" spans="2:18" ht="14.25" customHeight="1" thickBot="1" x14ac:dyDescent="0.3">
      <c r="B19" s="240"/>
      <c r="C19" s="86"/>
      <c r="D19" s="350">
        <f t="shared" si="0"/>
        <v>0</v>
      </c>
      <c r="E19" s="34"/>
      <c r="F19" s="351">
        <f t="shared" si="1"/>
        <v>0</v>
      </c>
      <c r="G19" s="34"/>
      <c r="H19" s="35"/>
      <c r="I19" s="243"/>
      <c r="J19" s="353">
        <f t="shared" si="2"/>
        <v>0</v>
      </c>
      <c r="K19" s="26"/>
      <c r="M19" s="469"/>
      <c r="N19" s="470"/>
      <c r="O19" s="470"/>
      <c r="P19" s="470"/>
      <c r="Q19" s="470"/>
      <c r="R19" s="471"/>
    </row>
    <row r="20" spans="2:18" ht="14.25" customHeight="1" thickBot="1" x14ac:dyDescent="0.3">
      <c r="B20" s="240"/>
      <c r="C20" s="86"/>
      <c r="D20" s="350">
        <f t="shared" si="0"/>
        <v>0</v>
      </c>
      <c r="E20" s="34"/>
      <c r="F20" s="351">
        <f t="shared" si="1"/>
        <v>0</v>
      </c>
      <c r="G20" s="34"/>
      <c r="H20" s="35"/>
      <c r="I20" s="243"/>
      <c r="J20" s="353">
        <f t="shared" si="2"/>
        <v>0</v>
      </c>
      <c r="K20" s="26"/>
      <c r="L20" s="2"/>
    </row>
    <row r="21" spans="2:18" x14ac:dyDescent="0.25">
      <c r="B21" s="240"/>
      <c r="C21" s="86"/>
      <c r="D21" s="350">
        <f t="shared" si="0"/>
        <v>0</v>
      </c>
      <c r="E21" s="34"/>
      <c r="F21" s="351">
        <f t="shared" si="1"/>
        <v>0</v>
      </c>
      <c r="G21" s="34"/>
      <c r="H21" s="35"/>
      <c r="I21" s="243"/>
      <c r="J21" s="353">
        <f t="shared" si="2"/>
        <v>0</v>
      </c>
      <c r="K21" s="26"/>
      <c r="M21" s="463" t="s">
        <v>118</v>
      </c>
      <c r="N21" s="464"/>
      <c r="O21" s="464"/>
      <c r="P21" s="464"/>
      <c r="Q21" s="464"/>
      <c r="R21" s="465"/>
    </row>
    <row r="22" spans="2:18" x14ac:dyDescent="0.25">
      <c r="B22" s="240"/>
      <c r="C22" s="86"/>
      <c r="D22" s="350">
        <f t="shared" si="0"/>
        <v>0</v>
      </c>
      <c r="E22" s="34"/>
      <c r="F22" s="351">
        <f t="shared" si="1"/>
        <v>0</v>
      </c>
      <c r="G22" s="34"/>
      <c r="H22" s="35"/>
      <c r="I22" s="243"/>
      <c r="J22" s="353">
        <f t="shared" si="2"/>
        <v>0</v>
      </c>
      <c r="K22" s="26"/>
      <c r="M22" s="466"/>
      <c r="N22" s="467"/>
      <c r="O22" s="467"/>
      <c r="P22" s="467"/>
      <c r="Q22" s="467"/>
      <c r="R22" s="468"/>
    </row>
    <row r="23" spans="2:18" ht="15.75" thickBot="1" x14ac:dyDescent="0.3">
      <c r="B23" s="287"/>
      <c r="C23" s="288"/>
      <c r="D23" s="350">
        <f t="shared" si="0"/>
        <v>0</v>
      </c>
      <c r="E23" s="289"/>
      <c r="F23" s="351">
        <f t="shared" si="1"/>
        <v>0</v>
      </c>
      <c r="G23" s="289"/>
      <c r="H23" s="290"/>
      <c r="I23" s="291"/>
      <c r="J23" s="354">
        <f t="shared" si="2"/>
        <v>0</v>
      </c>
      <c r="K23" s="26"/>
      <c r="M23" s="466"/>
      <c r="N23" s="467"/>
      <c r="O23" s="467"/>
      <c r="P23" s="467"/>
      <c r="Q23" s="467"/>
      <c r="R23" s="468"/>
    </row>
    <row r="24" spans="2:18" ht="15.75" thickBot="1" x14ac:dyDescent="0.3">
      <c r="B24" s="292" t="s">
        <v>78</v>
      </c>
      <c r="C24" s="293">
        <f>SUM(C14:C23)</f>
        <v>5</v>
      </c>
      <c r="D24" s="294">
        <f>SUM(D14:D23)</f>
        <v>250</v>
      </c>
      <c r="E24" s="293">
        <f t="shared" ref="E24:J24" si="3">SUM(E14:E23)</f>
        <v>20</v>
      </c>
      <c r="F24" s="294">
        <f t="shared" si="3"/>
        <v>1000</v>
      </c>
      <c r="G24" s="293">
        <f t="shared" si="3"/>
        <v>0</v>
      </c>
      <c r="H24" s="294">
        <f t="shared" si="3"/>
        <v>2096.5</v>
      </c>
      <c r="I24" s="294">
        <f t="shared" si="3"/>
        <v>10568.78</v>
      </c>
      <c r="J24" s="295">
        <f t="shared" si="3"/>
        <v>13915.28</v>
      </c>
      <c r="K24" s="308"/>
      <c r="M24" s="466"/>
      <c r="N24" s="467"/>
      <c r="O24" s="467"/>
      <c r="P24" s="467"/>
      <c r="Q24" s="467"/>
      <c r="R24" s="468"/>
    </row>
    <row r="25" spans="2:18" ht="15.75" thickBot="1" x14ac:dyDescent="0.3">
      <c r="B25" s="237"/>
      <c r="C25" s="115"/>
      <c r="D25" s="116"/>
      <c r="E25" s="117"/>
      <c r="F25" s="118"/>
      <c r="G25" s="119"/>
      <c r="M25" s="466"/>
      <c r="N25" s="467"/>
      <c r="O25" s="467"/>
      <c r="P25" s="467"/>
      <c r="Q25" s="467"/>
      <c r="R25" s="468"/>
    </row>
    <row r="26" spans="2:18" x14ac:dyDescent="0.25">
      <c r="B26" s="121" t="s">
        <v>55</v>
      </c>
      <c r="C26" s="134" t="s">
        <v>114</v>
      </c>
      <c r="D26" s="122" t="s">
        <v>79</v>
      </c>
      <c r="E26" s="134" t="s">
        <v>115</v>
      </c>
      <c r="F26" s="537" t="s">
        <v>181</v>
      </c>
      <c r="G26" s="538"/>
      <c r="M26" s="466"/>
      <c r="N26" s="467"/>
      <c r="O26" s="467"/>
      <c r="P26" s="467"/>
      <c r="Q26" s="467"/>
      <c r="R26" s="468"/>
    </row>
    <row r="27" spans="2:18" x14ac:dyDescent="0.25">
      <c r="B27" s="263"/>
      <c r="C27" s="264"/>
      <c r="D27" s="265"/>
      <c r="E27" s="264"/>
      <c r="F27" s="265"/>
      <c r="G27" s="264"/>
      <c r="I27" s="251"/>
      <c r="M27" s="466"/>
      <c r="N27" s="467"/>
      <c r="O27" s="467"/>
      <c r="P27" s="467"/>
      <c r="Q27" s="467"/>
      <c r="R27" s="468"/>
    </row>
    <row r="28" spans="2:18" ht="14.45" customHeight="1" thickBot="1" x14ac:dyDescent="0.3">
      <c r="B28" s="42" t="s">
        <v>112</v>
      </c>
      <c r="C28" s="133" t="s">
        <v>113</v>
      </c>
      <c r="D28" s="100" t="s">
        <v>112</v>
      </c>
      <c r="E28" s="133" t="s">
        <v>113</v>
      </c>
      <c r="F28" s="100" t="s">
        <v>112</v>
      </c>
      <c r="G28" s="133" t="s">
        <v>113</v>
      </c>
      <c r="I28" s="251"/>
      <c r="M28" s="466"/>
      <c r="N28" s="467"/>
      <c r="O28" s="467"/>
      <c r="P28" s="467"/>
      <c r="Q28" s="467"/>
      <c r="R28" s="468"/>
    </row>
    <row r="29" spans="2:18" ht="15.75" thickBot="1" x14ac:dyDescent="0.3">
      <c r="B29" s="296">
        <v>0</v>
      </c>
      <c r="C29" s="95">
        <f>B29*53</f>
        <v>0</v>
      </c>
      <c r="D29" s="296">
        <v>32.75</v>
      </c>
      <c r="E29" s="108">
        <f>D29*53</f>
        <v>1735.75</v>
      </c>
      <c r="F29" s="296">
        <v>0</v>
      </c>
      <c r="G29" s="108">
        <f>F29*53</f>
        <v>0</v>
      </c>
      <c r="M29" s="466"/>
      <c r="N29" s="467"/>
      <c r="O29" s="467"/>
      <c r="P29" s="467"/>
      <c r="Q29" s="467"/>
      <c r="R29" s="468"/>
    </row>
    <row r="30" spans="2:18" ht="15.75" thickBot="1" x14ac:dyDescent="0.3">
      <c r="B30" s="238"/>
      <c r="C30" s="102"/>
      <c r="D30" s="103"/>
      <c r="E30" s="102"/>
      <c r="F30" s="103"/>
      <c r="G30" s="102"/>
      <c r="M30" s="466"/>
      <c r="N30" s="467"/>
      <c r="O30" s="467"/>
      <c r="P30" s="467"/>
      <c r="Q30" s="467"/>
      <c r="R30" s="468"/>
    </row>
    <row r="31" spans="2:18" x14ac:dyDescent="0.25">
      <c r="B31" s="218" t="s">
        <v>117</v>
      </c>
      <c r="C31" s="219"/>
      <c r="D31" s="478"/>
      <c r="E31" s="479"/>
      <c r="F31" s="109"/>
      <c r="G31" s="110"/>
      <c r="M31" s="466"/>
      <c r="N31" s="467"/>
      <c r="O31" s="467"/>
      <c r="P31" s="467"/>
      <c r="Q31" s="467"/>
      <c r="R31" s="468"/>
    </row>
    <row r="32" spans="2:18" ht="15.75" thickBot="1" x14ac:dyDescent="0.3">
      <c r="B32" s="221" t="s">
        <v>119</v>
      </c>
      <c r="C32" s="99" t="s">
        <v>120</v>
      </c>
      <c r="D32" s="517" t="s">
        <v>43</v>
      </c>
      <c r="E32" s="518"/>
      <c r="F32" s="222" t="s">
        <v>121</v>
      </c>
      <c r="G32" s="227" t="s">
        <v>122</v>
      </c>
      <c r="H32" s="251"/>
      <c r="M32" s="466"/>
      <c r="N32" s="467"/>
      <c r="O32" s="467"/>
      <c r="P32" s="467"/>
      <c r="Q32" s="467"/>
      <c r="R32" s="468"/>
    </row>
    <row r="33" spans="2:18" x14ac:dyDescent="0.25">
      <c r="B33" s="253"/>
      <c r="C33" s="254"/>
      <c r="D33" s="535"/>
      <c r="E33" s="536"/>
      <c r="F33" s="334"/>
      <c r="G33" s="255"/>
      <c r="H33" s="251"/>
      <c r="M33" s="466"/>
      <c r="N33" s="467"/>
      <c r="O33" s="467"/>
      <c r="P33" s="467"/>
      <c r="Q33" s="467"/>
      <c r="R33" s="468"/>
    </row>
    <row r="34" spans="2:18" x14ac:dyDescent="0.25">
      <c r="B34" s="223"/>
      <c r="C34" s="39"/>
      <c r="D34" s="480"/>
      <c r="E34" s="481"/>
      <c r="F34" s="226"/>
      <c r="G34" s="256"/>
      <c r="H34" s="251"/>
      <c r="M34" s="466"/>
      <c r="N34" s="467"/>
      <c r="O34" s="467"/>
      <c r="P34" s="467"/>
      <c r="Q34" s="467"/>
      <c r="R34" s="468"/>
    </row>
    <row r="35" spans="2:18" x14ac:dyDescent="0.25">
      <c r="B35" s="223"/>
      <c r="C35" s="39"/>
      <c r="D35" s="480"/>
      <c r="E35" s="481"/>
      <c r="F35" s="226"/>
      <c r="G35" s="256"/>
      <c r="H35" s="251"/>
      <c r="M35" s="466"/>
      <c r="N35" s="467"/>
      <c r="O35" s="467"/>
      <c r="P35" s="467"/>
      <c r="Q35" s="467"/>
      <c r="R35" s="468"/>
    </row>
    <row r="36" spans="2:18" x14ac:dyDescent="0.25">
      <c r="B36" s="223"/>
      <c r="C36" s="257"/>
      <c r="D36" s="480"/>
      <c r="E36" s="481"/>
      <c r="F36" s="226"/>
      <c r="G36" s="256"/>
      <c r="H36" s="251"/>
      <c r="M36" s="466"/>
      <c r="N36" s="467"/>
      <c r="O36" s="467"/>
      <c r="P36" s="467"/>
      <c r="Q36" s="467"/>
      <c r="R36" s="468"/>
    </row>
    <row r="37" spans="2:18" x14ac:dyDescent="0.25">
      <c r="B37" s="223"/>
      <c r="C37" s="39"/>
      <c r="D37" s="480"/>
      <c r="E37" s="481"/>
      <c r="F37" s="226"/>
      <c r="G37" s="256"/>
      <c r="H37" s="251"/>
      <c r="M37" s="466"/>
      <c r="N37" s="467"/>
      <c r="O37" s="467"/>
      <c r="P37" s="467"/>
      <c r="Q37" s="467"/>
      <c r="R37" s="468"/>
    </row>
    <row r="38" spans="2:18" ht="15.75" thickBot="1" x14ac:dyDescent="0.3">
      <c r="B38" s="223"/>
      <c r="C38" s="39"/>
      <c r="D38" s="480"/>
      <c r="E38" s="481"/>
      <c r="F38" s="226"/>
      <c r="G38" s="256"/>
      <c r="H38" s="251"/>
      <c r="M38" s="469"/>
      <c r="N38" s="470"/>
      <c r="O38" s="470"/>
      <c r="P38" s="470"/>
      <c r="Q38" s="470"/>
      <c r="R38" s="471"/>
    </row>
    <row r="39" spans="2:18" x14ac:dyDescent="0.25">
      <c r="B39" s="223"/>
      <c r="C39" s="39"/>
      <c r="D39" s="480"/>
      <c r="E39" s="481"/>
      <c r="F39" s="226"/>
      <c r="G39" s="256"/>
      <c r="H39" s="251"/>
    </row>
    <row r="40" spans="2:18" x14ac:dyDescent="0.25">
      <c r="B40" s="223"/>
      <c r="C40" s="257"/>
      <c r="D40" s="480"/>
      <c r="E40" s="481"/>
      <c r="F40" s="226"/>
      <c r="G40" s="256"/>
      <c r="H40" s="251"/>
    </row>
    <row r="41" spans="2:18" x14ac:dyDescent="0.25">
      <c r="B41" s="223"/>
      <c r="C41" s="39"/>
      <c r="D41" s="480"/>
      <c r="E41" s="481"/>
      <c r="F41" s="226"/>
      <c r="G41" s="256"/>
      <c r="H41" s="251"/>
    </row>
    <row r="42" spans="2:18" x14ac:dyDescent="0.25">
      <c r="B42" s="223"/>
      <c r="C42" s="39"/>
      <c r="D42" s="480"/>
      <c r="E42" s="481"/>
      <c r="F42" s="226"/>
      <c r="G42" s="158"/>
      <c r="I42" s="251"/>
    </row>
    <row r="43" spans="2:18" x14ac:dyDescent="0.25">
      <c r="B43" s="223"/>
      <c r="C43" s="39"/>
      <c r="D43" s="480"/>
      <c r="E43" s="481"/>
      <c r="F43" s="226"/>
      <c r="G43" s="158"/>
      <c r="I43" s="251"/>
    </row>
    <row r="44" spans="2:18" x14ac:dyDescent="0.25">
      <c r="B44" s="223"/>
      <c r="C44" s="39"/>
      <c r="D44" s="480"/>
      <c r="E44" s="481"/>
      <c r="F44" s="226"/>
      <c r="G44" s="158"/>
      <c r="I44" s="251"/>
    </row>
    <row r="45" spans="2:18" x14ac:dyDescent="0.25">
      <c r="B45" s="223"/>
      <c r="C45" s="39"/>
      <c r="D45" s="480"/>
      <c r="E45" s="481"/>
      <c r="F45" s="226"/>
      <c r="G45" s="158"/>
    </row>
    <row r="46" spans="2:18" x14ac:dyDescent="0.25">
      <c r="B46" s="223"/>
      <c r="C46" s="39"/>
      <c r="D46" s="480"/>
      <c r="E46" s="481"/>
      <c r="F46" s="226"/>
      <c r="G46" s="158"/>
    </row>
    <row r="47" spans="2:18" ht="15.75" thickBot="1" x14ac:dyDescent="0.3">
      <c r="B47" s="355"/>
      <c r="C47" s="231"/>
      <c r="D47" s="506"/>
      <c r="E47" s="507"/>
      <c r="F47" s="232"/>
      <c r="G47" s="233"/>
    </row>
    <row r="48" spans="2:18" ht="15.75" thickBot="1" x14ac:dyDescent="0.3">
      <c r="B48" s="120" t="s">
        <v>78</v>
      </c>
      <c r="C48" s="97"/>
      <c r="D48" s="97"/>
      <c r="E48" s="98"/>
      <c r="F48" s="132">
        <f>SUM(F33:F47)</f>
        <v>0</v>
      </c>
      <c r="G48" s="224" t="s">
        <v>123</v>
      </c>
      <c r="L48" s="2"/>
    </row>
    <row r="49" spans="2:26" ht="15.75" thickBot="1" x14ac:dyDescent="0.3">
      <c r="B49" s="491"/>
      <c r="C49" s="491"/>
      <c r="D49" s="491"/>
      <c r="E49" s="491"/>
      <c r="F49" s="491"/>
      <c r="G49" s="491"/>
      <c r="H49" s="492"/>
      <c r="I49" s="492"/>
      <c r="J49" s="492"/>
      <c r="K49" s="1"/>
      <c r="L49" s="1"/>
      <c r="Q49" s="431"/>
      <c r="R49" s="431"/>
      <c r="S49" s="431"/>
      <c r="T49" s="431"/>
      <c r="U49" s="431"/>
      <c r="V49" s="431"/>
      <c r="W49" s="431"/>
      <c r="X49" s="431"/>
      <c r="Y49" s="431"/>
    </row>
    <row r="50" spans="2:26" ht="15.75" thickBot="1" x14ac:dyDescent="0.3">
      <c r="B50" s="266" t="s">
        <v>124</v>
      </c>
      <c r="C50" s="476" t="s">
        <v>125</v>
      </c>
      <c r="D50" s="477"/>
      <c r="E50" s="477"/>
      <c r="F50" s="477"/>
      <c r="G50" s="190" t="s">
        <v>182</v>
      </c>
      <c r="H50" s="487" t="s">
        <v>127</v>
      </c>
      <c r="I50" s="488"/>
      <c r="J50" s="489"/>
      <c r="K50" s="187"/>
      <c r="L50" s="187"/>
      <c r="M50" s="543" t="s">
        <v>128</v>
      </c>
      <c r="N50" s="544"/>
      <c r="O50" s="545"/>
      <c r="Q50" s="463" t="s">
        <v>129</v>
      </c>
      <c r="R50" s="464"/>
      <c r="S50" s="464"/>
      <c r="T50" s="465"/>
      <c r="U50" s="431"/>
      <c r="V50" s="431"/>
      <c r="W50" s="431"/>
      <c r="X50" s="431"/>
      <c r="Y50" s="431"/>
      <c r="Z50" s="431"/>
    </row>
    <row r="51" spans="2:26" ht="14.45" customHeight="1" thickBot="1" x14ac:dyDescent="0.3">
      <c r="B51" s="113" t="s">
        <v>130</v>
      </c>
      <c r="C51" s="182" t="s">
        <v>131</v>
      </c>
      <c r="D51" s="267" t="s">
        <v>57</v>
      </c>
      <c r="E51" s="112" t="s">
        <v>132</v>
      </c>
      <c r="F51" s="112" t="s">
        <v>133</v>
      </c>
      <c r="G51" s="187" t="s">
        <v>131</v>
      </c>
      <c r="H51" s="207" t="s">
        <v>131</v>
      </c>
      <c r="I51" s="208" t="s">
        <v>57</v>
      </c>
      <c r="J51" s="209" t="s">
        <v>132</v>
      </c>
      <c r="K51" s="187" t="s">
        <v>2</v>
      </c>
      <c r="L51" s="187" t="s">
        <v>183</v>
      </c>
      <c r="M51" s="284" t="s">
        <v>135</v>
      </c>
      <c r="N51" s="285" t="s">
        <v>136</v>
      </c>
      <c r="O51" s="286" t="s">
        <v>137</v>
      </c>
      <c r="Q51" s="466"/>
      <c r="R51" s="467"/>
      <c r="S51" s="467"/>
      <c r="T51" s="468"/>
    </row>
    <row r="52" spans="2:26" outlineLevel="1" x14ac:dyDescent="0.25">
      <c r="B52" s="383" t="s">
        <v>195</v>
      </c>
      <c r="C52" s="346"/>
      <c r="D52" s="347"/>
      <c r="E52" s="184">
        <f>C52+D52</f>
        <v>0</v>
      </c>
      <c r="F52" s="348">
        <v>250.13980000000001</v>
      </c>
      <c r="G52" s="349">
        <v>250.13980000000001</v>
      </c>
      <c r="H52" s="206"/>
      <c r="I52" s="206"/>
      <c r="J52" s="297">
        <f>H52+I52</f>
        <v>0</v>
      </c>
      <c r="K52" s="382" t="s">
        <v>196</v>
      </c>
      <c r="L52" s="191" t="s">
        <v>213</v>
      </c>
      <c r="M52" s="194">
        <f>IF(AND(G52&gt;0,OR(C52&gt;0,F52&gt;0,H52&gt;0)),(G52-F52)/G52,"")</f>
        <v>0</v>
      </c>
      <c r="N52" s="193">
        <f>IF(G52&gt;0,(IF(C52&gt;0,C52,H52))/G52,"")</f>
        <v>0</v>
      </c>
      <c r="O52" s="195" t="str">
        <f>IF(M52=100%,G52-(IF(C52&gt;0,C52,H52)),"")</f>
        <v/>
      </c>
      <c r="P52" s="252">
        <v>40866</v>
      </c>
      <c r="Q52" s="466"/>
      <c r="R52" s="467"/>
      <c r="S52" s="467"/>
      <c r="T52" s="468"/>
      <c r="U52" s="261"/>
      <c r="V52" s="261"/>
      <c r="W52" s="261"/>
      <c r="X52" s="262"/>
      <c r="Y52" s="261"/>
    </row>
    <row r="53" spans="2:26" outlineLevel="1" x14ac:dyDescent="0.25">
      <c r="B53" s="180" t="s">
        <v>197</v>
      </c>
      <c r="C53" s="357"/>
      <c r="D53" s="358"/>
      <c r="E53" s="185">
        <f t="shared" ref="E53:E116" si="4">C53+D53</f>
        <v>0</v>
      </c>
      <c r="F53" s="359">
        <v>160.25</v>
      </c>
      <c r="G53" s="349">
        <v>160.25</v>
      </c>
      <c r="H53" s="206"/>
      <c r="I53" s="206"/>
      <c r="J53" s="297">
        <f t="shared" ref="J53:J116" si="5">H53+I53</f>
        <v>0</v>
      </c>
      <c r="K53" s="382" t="s">
        <v>196</v>
      </c>
      <c r="L53" s="191" t="s">
        <v>214</v>
      </c>
      <c r="M53" s="194">
        <f t="shared" ref="M53:M116" si="6">IF(AND(G53&gt;0,OR(C53&gt;0,F53&gt;0,H53&gt;0)),(G53-F53)/G53,"")</f>
        <v>0</v>
      </c>
      <c r="N53" s="193">
        <f t="shared" ref="N53:N116" si="7">IF(G53&gt;0,(IF(C53&gt;0,C53,H53))/G53,"")</f>
        <v>0</v>
      </c>
      <c r="O53" s="195" t="str">
        <f t="shared" ref="O53:O116" si="8">IF(M53=100%,G53-(IF(C53&gt;0,C53,H53)),"")</f>
        <v/>
      </c>
      <c r="P53" s="252">
        <v>40867</v>
      </c>
      <c r="Q53" s="466"/>
      <c r="R53" s="467"/>
      <c r="S53" s="467"/>
      <c r="T53" s="468"/>
      <c r="U53" s="261"/>
      <c r="V53" s="261"/>
      <c r="W53" s="261"/>
      <c r="X53" s="262"/>
      <c r="Y53" s="261"/>
    </row>
    <row r="54" spans="2:26" outlineLevel="1" x14ac:dyDescent="0.25">
      <c r="B54" s="384" t="s">
        <v>198</v>
      </c>
      <c r="C54" s="357">
        <v>751.32420000000002</v>
      </c>
      <c r="D54" s="358">
        <v>424.8836</v>
      </c>
      <c r="E54" s="185">
        <f t="shared" si="4"/>
        <v>1176.2078000000001</v>
      </c>
      <c r="F54" s="359">
        <v>340</v>
      </c>
      <c r="G54" s="349">
        <v>594.16510000000005</v>
      </c>
      <c r="H54" s="206"/>
      <c r="I54" s="206"/>
      <c r="J54" s="297">
        <f t="shared" si="5"/>
        <v>0</v>
      </c>
      <c r="K54" s="309" t="s">
        <v>199</v>
      </c>
      <c r="L54" s="191" t="s">
        <v>215</v>
      </c>
      <c r="M54" s="194">
        <f t="shared" si="6"/>
        <v>0.42776847714549376</v>
      </c>
      <c r="N54" s="193">
        <f t="shared" si="7"/>
        <v>1.26450409153954</v>
      </c>
      <c r="O54" s="195" t="str">
        <f t="shared" si="8"/>
        <v/>
      </c>
      <c r="P54" s="252">
        <v>40868</v>
      </c>
      <c r="Q54" s="466"/>
      <c r="R54" s="467"/>
      <c r="S54" s="467"/>
      <c r="T54" s="468"/>
      <c r="U54" s="261"/>
      <c r="V54" s="261"/>
      <c r="W54" s="261"/>
      <c r="X54" s="262"/>
      <c r="Y54" s="261"/>
    </row>
    <row r="55" spans="2:26" outlineLevel="1" x14ac:dyDescent="0.25">
      <c r="B55" s="180" t="s">
        <v>200</v>
      </c>
      <c r="C55" s="357"/>
      <c r="D55" s="358"/>
      <c r="E55" s="185">
        <f t="shared" si="4"/>
        <v>0</v>
      </c>
      <c r="F55" s="359">
        <v>458</v>
      </c>
      <c r="G55" s="349">
        <v>458</v>
      </c>
      <c r="H55" s="206"/>
      <c r="I55" s="206"/>
      <c r="J55" s="297">
        <f t="shared" si="5"/>
        <v>0</v>
      </c>
      <c r="K55" s="382" t="s">
        <v>196</v>
      </c>
      <c r="L55" s="191" t="s">
        <v>216</v>
      </c>
      <c r="M55" s="194">
        <f t="shared" si="6"/>
        <v>0</v>
      </c>
      <c r="N55" s="193">
        <f t="shared" si="7"/>
        <v>0</v>
      </c>
      <c r="O55" s="195" t="str">
        <f t="shared" si="8"/>
        <v/>
      </c>
      <c r="P55" s="252">
        <v>40869</v>
      </c>
      <c r="Q55" s="466"/>
      <c r="R55" s="467"/>
      <c r="S55" s="467"/>
      <c r="T55" s="468"/>
      <c r="U55" s="261"/>
      <c r="V55" s="261"/>
      <c r="W55" s="261"/>
      <c r="X55" s="262"/>
      <c r="Y55" s="261"/>
    </row>
    <row r="56" spans="2:26" outlineLevel="1" x14ac:dyDescent="0.25">
      <c r="B56" s="385" t="s">
        <v>201</v>
      </c>
      <c r="C56" s="357"/>
      <c r="D56" s="358"/>
      <c r="E56" s="185">
        <f t="shared" si="4"/>
        <v>0</v>
      </c>
      <c r="F56" s="359"/>
      <c r="G56" s="349">
        <v>5178.7456000000002</v>
      </c>
      <c r="H56" s="206">
        <v>5631.7132000000001</v>
      </c>
      <c r="I56" s="206">
        <v>2778.6057000000001</v>
      </c>
      <c r="J56" s="297">
        <f t="shared" si="5"/>
        <v>8410.3189000000002</v>
      </c>
      <c r="K56" s="386" t="s">
        <v>210</v>
      </c>
      <c r="L56" s="191" t="s">
        <v>217</v>
      </c>
      <c r="M56" s="194">
        <f t="shared" si="6"/>
        <v>1</v>
      </c>
      <c r="N56" s="193">
        <f t="shared" si="7"/>
        <v>1.0874666637418915</v>
      </c>
      <c r="O56" s="195">
        <f t="shared" si="8"/>
        <v>-452.96759999999995</v>
      </c>
      <c r="P56" s="252">
        <v>40870</v>
      </c>
      <c r="Q56" s="466"/>
      <c r="R56" s="467"/>
      <c r="S56" s="467"/>
      <c r="T56" s="468"/>
      <c r="U56" s="261"/>
      <c r="V56" s="261"/>
      <c r="W56" s="261"/>
      <c r="X56" s="262"/>
      <c r="Y56" s="261"/>
    </row>
    <row r="57" spans="2:26" outlineLevel="1" x14ac:dyDescent="0.25">
      <c r="B57" s="385" t="s">
        <v>202</v>
      </c>
      <c r="C57" s="357"/>
      <c r="D57" s="358"/>
      <c r="E57" s="185">
        <f t="shared" si="4"/>
        <v>0</v>
      </c>
      <c r="F57" s="359"/>
      <c r="G57" s="349">
        <v>22.246600000000001</v>
      </c>
      <c r="H57" s="206">
        <v>42.750799999999998</v>
      </c>
      <c r="I57" s="206">
        <v>11.16</v>
      </c>
      <c r="J57" s="297">
        <f t="shared" si="5"/>
        <v>53.910799999999995</v>
      </c>
      <c r="K57" s="386" t="s">
        <v>210</v>
      </c>
      <c r="L57" s="191" t="s">
        <v>218</v>
      </c>
      <c r="M57" s="194">
        <f t="shared" si="6"/>
        <v>1</v>
      </c>
      <c r="N57" s="193">
        <f t="shared" si="7"/>
        <v>1.9216779193225031</v>
      </c>
      <c r="O57" s="195">
        <f t="shared" si="8"/>
        <v>-20.504199999999997</v>
      </c>
      <c r="P57" s="252">
        <v>40871</v>
      </c>
      <c r="Q57" s="466"/>
      <c r="R57" s="467"/>
      <c r="S57" s="467"/>
      <c r="T57" s="468"/>
      <c r="U57" s="261"/>
      <c r="V57" s="261"/>
      <c r="W57" s="261"/>
      <c r="X57" s="262"/>
      <c r="Y57" s="261"/>
    </row>
    <row r="58" spans="2:26" outlineLevel="1" x14ac:dyDescent="0.25">
      <c r="B58" s="385" t="s">
        <v>203</v>
      </c>
      <c r="C58" s="357"/>
      <c r="D58" s="358"/>
      <c r="E58" s="185">
        <f t="shared" si="4"/>
        <v>0</v>
      </c>
      <c r="F58" s="359"/>
      <c r="G58" s="349">
        <v>433.5</v>
      </c>
      <c r="H58" s="206">
        <v>440.01979999999998</v>
      </c>
      <c r="I58" s="206">
        <v>51.134399999999999</v>
      </c>
      <c r="J58" s="297">
        <f t="shared" si="5"/>
        <v>491.15419999999995</v>
      </c>
      <c r="K58" s="386" t="s">
        <v>210</v>
      </c>
      <c r="L58" s="191" t="s">
        <v>219</v>
      </c>
      <c r="M58" s="194">
        <f t="shared" si="6"/>
        <v>1</v>
      </c>
      <c r="N58" s="193">
        <f t="shared" si="7"/>
        <v>1.015039907727797</v>
      </c>
      <c r="O58" s="195">
        <f t="shared" si="8"/>
        <v>-6.5197999999999752</v>
      </c>
      <c r="P58" s="252">
        <v>40872</v>
      </c>
      <c r="Q58" s="466"/>
      <c r="R58" s="467"/>
      <c r="S58" s="467"/>
      <c r="T58" s="468"/>
      <c r="U58" s="261"/>
      <c r="V58" s="261"/>
      <c r="W58" s="261"/>
      <c r="X58" s="262"/>
      <c r="Y58" s="261"/>
    </row>
    <row r="59" spans="2:26" outlineLevel="1" x14ac:dyDescent="0.25">
      <c r="B59" s="180" t="s">
        <v>204</v>
      </c>
      <c r="C59" s="357"/>
      <c r="D59" s="358"/>
      <c r="E59" s="185">
        <f t="shared" si="4"/>
        <v>0</v>
      </c>
      <c r="F59" s="359">
        <v>160.25</v>
      </c>
      <c r="G59" s="349">
        <v>160.25</v>
      </c>
      <c r="H59" s="206"/>
      <c r="I59" s="206"/>
      <c r="J59" s="297">
        <f t="shared" si="5"/>
        <v>0</v>
      </c>
      <c r="K59" s="382" t="s">
        <v>196</v>
      </c>
      <c r="L59" s="191" t="s">
        <v>220</v>
      </c>
      <c r="M59" s="194">
        <f t="shared" si="6"/>
        <v>0</v>
      </c>
      <c r="N59" s="193">
        <f t="shared" si="7"/>
        <v>0</v>
      </c>
      <c r="O59" s="195" t="str">
        <f t="shared" si="8"/>
        <v/>
      </c>
      <c r="P59" s="252">
        <v>40882</v>
      </c>
      <c r="Q59" s="466"/>
      <c r="R59" s="467"/>
      <c r="S59" s="467"/>
      <c r="T59" s="468"/>
      <c r="U59" s="261"/>
      <c r="V59" s="261"/>
      <c r="W59" s="261"/>
      <c r="X59" s="262"/>
      <c r="Y59" s="261"/>
    </row>
    <row r="60" spans="2:26" outlineLevel="1" x14ac:dyDescent="0.25">
      <c r="B60" s="385" t="s">
        <v>205</v>
      </c>
      <c r="C60" s="357"/>
      <c r="D60" s="358"/>
      <c r="E60" s="185">
        <f t="shared" si="4"/>
        <v>0</v>
      </c>
      <c r="F60" s="359"/>
      <c r="G60" s="349">
        <v>523.66510000000005</v>
      </c>
      <c r="H60" s="206">
        <v>1041.4652000000001</v>
      </c>
      <c r="I60" s="206">
        <v>251.89500000000001</v>
      </c>
      <c r="J60" s="297">
        <f t="shared" si="5"/>
        <v>1293.3602000000001</v>
      </c>
      <c r="K60" s="386" t="s">
        <v>210</v>
      </c>
      <c r="L60" s="191" t="s">
        <v>221</v>
      </c>
      <c r="M60" s="194">
        <f t="shared" si="6"/>
        <v>1</v>
      </c>
      <c r="N60" s="193">
        <f t="shared" si="7"/>
        <v>1.988800093800408</v>
      </c>
      <c r="O60" s="195">
        <f t="shared" si="8"/>
        <v>-517.80010000000004</v>
      </c>
      <c r="P60" s="252">
        <v>41044</v>
      </c>
      <c r="Q60" s="466"/>
      <c r="R60" s="467"/>
      <c r="S60" s="467"/>
      <c r="T60" s="468"/>
      <c r="U60" s="261"/>
      <c r="V60" s="261"/>
      <c r="W60" s="261"/>
      <c r="X60" s="262"/>
      <c r="Y60" s="261"/>
    </row>
    <row r="61" spans="2:26" outlineLevel="1" x14ac:dyDescent="0.25">
      <c r="B61" s="180" t="s">
        <v>206</v>
      </c>
      <c r="C61" s="357"/>
      <c r="D61" s="358"/>
      <c r="E61" s="185">
        <f t="shared" si="4"/>
        <v>0</v>
      </c>
      <c r="F61" s="359">
        <v>0.61419999999999997</v>
      </c>
      <c r="G61" s="349">
        <v>0.61419999999999997</v>
      </c>
      <c r="H61" s="206"/>
      <c r="I61" s="206"/>
      <c r="J61" s="297">
        <f t="shared" si="5"/>
        <v>0</v>
      </c>
      <c r="K61" s="382" t="s">
        <v>196</v>
      </c>
      <c r="L61" s="191" t="s">
        <v>222</v>
      </c>
      <c r="M61" s="194">
        <f t="shared" si="6"/>
        <v>0</v>
      </c>
      <c r="N61" s="193">
        <f t="shared" si="7"/>
        <v>0</v>
      </c>
      <c r="O61" s="195" t="str">
        <f t="shared" si="8"/>
        <v/>
      </c>
      <c r="P61" s="252"/>
      <c r="Q61" s="466"/>
      <c r="R61" s="467"/>
      <c r="S61" s="467"/>
      <c r="T61" s="468"/>
      <c r="U61" s="261"/>
      <c r="V61" s="261"/>
      <c r="W61" s="261"/>
      <c r="X61" s="262"/>
      <c r="Y61" s="261"/>
    </row>
    <row r="62" spans="2:26" outlineLevel="1" x14ac:dyDescent="0.25">
      <c r="B62" s="384" t="s">
        <v>207</v>
      </c>
      <c r="C62" s="357"/>
      <c r="D62" s="358">
        <v>158.16</v>
      </c>
      <c r="E62" s="185">
        <f t="shared" si="4"/>
        <v>158.16</v>
      </c>
      <c r="F62" s="359">
        <v>271.6651</v>
      </c>
      <c r="G62" s="349">
        <v>271.6651</v>
      </c>
      <c r="H62" s="206"/>
      <c r="I62" s="206"/>
      <c r="J62" s="297">
        <f t="shared" si="5"/>
        <v>0</v>
      </c>
      <c r="K62" s="382" t="s">
        <v>199</v>
      </c>
      <c r="L62" s="191" t="s">
        <v>223</v>
      </c>
      <c r="M62" s="194">
        <f t="shared" si="6"/>
        <v>0</v>
      </c>
      <c r="N62" s="193">
        <f t="shared" si="7"/>
        <v>0</v>
      </c>
      <c r="O62" s="195" t="str">
        <f t="shared" si="8"/>
        <v/>
      </c>
      <c r="P62" s="252"/>
      <c r="Q62" s="466"/>
      <c r="R62" s="467"/>
      <c r="S62" s="467"/>
      <c r="T62" s="468"/>
      <c r="U62" s="261"/>
      <c r="V62" s="261"/>
      <c r="W62" s="261"/>
      <c r="X62" s="262"/>
      <c r="Y62" s="261"/>
    </row>
    <row r="63" spans="2:26" outlineLevel="1" x14ac:dyDescent="0.25">
      <c r="B63" s="385" t="s">
        <v>208</v>
      </c>
      <c r="C63" s="357"/>
      <c r="D63" s="358"/>
      <c r="E63" s="185">
        <f t="shared" si="4"/>
        <v>0</v>
      </c>
      <c r="F63" s="359"/>
      <c r="G63" s="349">
        <v>2.4641999999999999</v>
      </c>
      <c r="H63" s="206">
        <v>0</v>
      </c>
      <c r="I63" s="206">
        <v>1390.4695999999999</v>
      </c>
      <c r="J63" s="297">
        <f t="shared" si="5"/>
        <v>1390.4695999999999</v>
      </c>
      <c r="K63" s="386" t="s">
        <v>210</v>
      </c>
      <c r="L63" s="191" t="s">
        <v>224</v>
      </c>
      <c r="M63" s="194" t="str">
        <f t="shared" si="6"/>
        <v/>
      </c>
      <c r="N63" s="193">
        <f t="shared" si="7"/>
        <v>0</v>
      </c>
      <c r="O63" s="195" t="str">
        <f t="shared" si="8"/>
        <v/>
      </c>
      <c r="P63" s="252"/>
      <c r="Q63" s="466"/>
      <c r="R63" s="467"/>
      <c r="S63" s="467"/>
      <c r="T63" s="468"/>
      <c r="U63" s="261"/>
      <c r="V63" s="261"/>
      <c r="W63" s="261"/>
      <c r="X63" s="262"/>
      <c r="Y63" s="261"/>
    </row>
    <row r="64" spans="2:26" outlineLevel="1" x14ac:dyDescent="0.25">
      <c r="B64" s="385" t="s">
        <v>209</v>
      </c>
      <c r="C64" s="357"/>
      <c r="D64" s="358"/>
      <c r="E64" s="185">
        <f t="shared" si="4"/>
        <v>0</v>
      </c>
      <c r="F64" s="359"/>
      <c r="G64" s="349">
        <v>440.92880000000002</v>
      </c>
      <c r="H64" s="206">
        <v>452.35649999999998</v>
      </c>
      <c r="I64" s="206">
        <v>9.4445999999999994</v>
      </c>
      <c r="J64" s="297">
        <f t="shared" si="5"/>
        <v>461.80109999999996</v>
      </c>
      <c r="K64" s="386" t="s">
        <v>210</v>
      </c>
      <c r="L64" s="191" t="s">
        <v>225</v>
      </c>
      <c r="M64" s="194">
        <f t="shared" si="6"/>
        <v>1</v>
      </c>
      <c r="N64" s="193">
        <f t="shared" si="7"/>
        <v>1.0259173363137086</v>
      </c>
      <c r="O64" s="195">
        <f t="shared" si="8"/>
        <v>-11.427699999999959</v>
      </c>
      <c r="P64" s="252"/>
      <c r="Q64" s="466"/>
      <c r="R64" s="467"/>
      <c r="S64" s="467"/>
      <c r="T64" s="468"/>
      <c r="U64" s="261"/>
      <c r="V64" s="261"/>
      <c r="W64" s="261"/>
      <c r="X64" s="262"/>
      <c r="Y64" s="261"/>
    </row>
    <row r="65" spans="2:25" outlineLevel="1" x14ac:dyDescent="0.25">
      <c r="B65" s="385" t="s">
        <v>211</v>
      </c>
      <c r="C65" s="357"/>
      <c r="D65" s="358"/>
      <c r="E65" s="185">
        <f t="shared" si="4"/>
        <v>0</v>
      </c>
      <c r="F65" s="359"/>
      <c r="G65" s="349">
        <v>372.7919</v>
      </c>
      <c r="H65" s="206">
        <v>346.5908</v>
      </c>
      <c r="I65" s="206">
        <v>23.6114</v>
      </c>
      <c r="J65" s="297">
        <f t="shared" si="5"/>
        <v>370.2022</v>
      </c>
      <c r="K65" s="386" t="s">
        <v>210</v>
      </c>
      <c r="L65" s="191" t="s">
        <v>226</v>
      </c>
      <c r="M65" s="194">
        <f t="shared" si="6"/>
        <v>1</v>
      </c>
      <c r="N65" s="193">
        <f t="shared" si="7"/>
        <v>0.92971655231779449</v>
      </c>
      <c r="O65" s="195">
        <f t="shared" si="8"/>
        <v>26.201099999999997</v>
      </c>
      <c r="P65" s="252"/>
      <c r="Q65" s="466"/>
      <c r="R65" s="467"/>
      <c r="S65" s="467"/>
      <c r="T65" s="468"/>
      <c r="U65" s="261"/>
      <c r="V65" s="261"/>
      <c r="W65" s="261"/>
      <c r="X65" s="262"/>
      <c r="Y65" s="261"/>
    </row>
    <row r="66" spans="2:25" outlineLevel="1" x14ac:dyDescent="0.25">
      <c r="B66" s="385" t="s">
        <v>212</v>
      </c>
      <c r="C66" s="357"/>
      <c r="D66" s="358"/>
      <c r="E66" s="185">
        <f t="shared" si="4"/>
        <v>0</v>
      </c>
      <c r="F66" s="359"/>
      <c r="G66" s="349">
        <v>522.79060000000004</v>
      </c>
      <c r="H66" s="206">
        <v>533.73360000000002</v>
      </c>
      <c r="I66" s="206">
        <v>11.1518</v>
      </c>
      <c r="J66" s="297">
        <f t="shared" si="5"/>
        <v>544.8854</v>
      </c>
      <c r="K66" s="386" t="s">
        <v>210</v>
      </c>
      <c r="L66" s="191" t="s">
        <v>227</v>
      </c>
      <c r="M66" s="194">
        <f t="shared" si="6"/>
        <v>1</v>
      </c>
      <c r="N66" s="193">
        <f t="shared" si="7"/>
        <v>1.0209318989285576</v>
      </c>
      <c r="O66" s="195">
        <f t="shared" si="8"/>
        <v>-10.942999999999984</v>
      </c>
      <c r="P66" s="252"/>
      <c r="Q66" s="466"/>
      <c r="R66" s="467"/>
      <c r="S66" s="467"/>
      <c r="T66" s="468"/>
      <c r="U66" s="261"/>
      <c r="V66" s="261"/>
      <c r="W66" s="261"/>
      <c r="X66" s="262"/>
      <c r="Y66" s="261"/>
    </row>
    <row r="67" spans="2:25" outlineLevel="1" x14ac:dyDescent="0.25">
      <c r="B67" s="180"/>
      <c r="C67" s="357"/>
      <c r="D67" s="358"/>
      <c r="E67" s="185">
        <f t="shared" si="4"/>
        <v>0</v>
      </c>
      <c r="F67" s="359"/>
      <c r="G67" s="349"/>
      <c r="H67" s="206"/>
      <c r="I67" s="206"/>
      <c r="J67" s="297">
        <f t="shared" si="5"/>
        <v>0</v>
      </c>
      <c r="K67" s="309"/>
      <c r="L67" s="191"/>
      <c r="M67" s="194" t="str">
        <f t="shared" si="6"/>
        <v/>
      </c>
      <c r="N67" s="193" t="str">
        <f t="shared" si="7"/>
        <v/>
      </c>
      <c r="O67" s="195" t="str">
        <f t="shared" si="8"/>
        <v/>
      </c>
      <c r="P67" s="252"/>
      <c r="Q67" s="466"/>
      <c r="R67" s="467"/>
      <c r="S67" s="467"/>
      <c r="T67" s="468"/>
      <c r="U67" s="261"/>
      <c r="V67" s="261"/>
      <c r="W67" s="261"/>
      <c r="X67" s="262"/>
      <c r="Y67" s="261"/>
    </row>
    <row r="68" spans="2:25" outlineLevel="1" x14ac:dyDescent="0.25">
      <c r="B68" s="180"/>
      <c r="C68" s="357"/>
      <c r="D68" s="358"/>
      <c r="E68" s="185">
        <f t="shared" si="4"/>
        <v>0</v>
      </c>
      <c r="F68" s="359"/>
      <c r="G68" s="349"/>
      <c r="H68" s="206"/>
      <c r="I68" s="206"/>
      <c r="J68" s="297">
        <f t="shared" si="5"/>
        <v>0</v>
      </c>
      <c r="K68" s="309"/>
      <c r="L68" s="191"/>
      <c r="M68" s="194" t="str">
        <f t="shared" si="6"/>
        <v/>
      </c>
      <c r="N68" s="193" t="str">
        <f t="shared" si="7"/>
        <v/>
      </c>
      <c r="O68" s="195" t="str">
        <f t="shared" si="8"/>
        <v/>
      </c>
      <c r="P68" s="252"/>
      <c r="Q68" s="466"/>
      <c r="R68" s="467"/>
      <c r="S68" s="467"/>
      <c r="T68" s="468"/>
      <c r="U68" s="261"/>
      <c r="V68" s="261"/>
      <c r="W68" s="261"/>
      <c r="X68" s="262"/>
      <c r="Y68" s="261"/>
    </row>
    <row r="69" spans="2:25" outlineLevel="1" x14ac:dyDescent="0.25">
      <c r="B69" s="180"/>
      <c r="C69" s="357"/>
      <c r="D69" s="358"/>
      <c r="E69" s="185">
        <f t="shared" si="4"/>
        <v>0</v>
      </c>
      <c r="F69" s="359"/>
      <c r="G69" s="349"/>
      <c r="H69" s="206"/>
      <c r="I69" s="206"/>
      <c r="J69" s="297">
        <f t="shared" si="5"/>
        <v>0</v>
      </c>
      <c r="K69" s="309"/>
      <c r="L69" s="191"/>
      <c r="M69" s="194" t="str">
        <f t="shared" si="6"/>
        <v/>
      </c>
      <c r="N69" s="193" t="str">
        <f t="shared" si="7"/>
        <v/>
      </c>
      <c r="O69" s="195" t="str">
        <f t="shared" si="8"/>
        <v/>
      </c>
      <c r="P69" s="252"/>
      <c r="Q69" s="466"/>
      <c r="R69" s="467"/>
      <c r="S69" s="467"/>
      <c r="T69" s="468"/>
      <c r="U69" s="261"/>
      <c r="V69" s="261"/>
      <c r="W69" s="261"/>
      <c r="X69" s="262"/>
      <c r="Y69" s="261"/>
    </row>
    <row r="70" spans="2:25" outlineLevel="1" x14ac:dyDescent="0.25">
      <c r="B70" s="180"/>
      <c r="C70" s="357"/>
      <c r="D70" s="358"/>
      <c r="E70" s="185">
        <f t="shared" si="4"/>
        <v>0</v>
      </c>
      <c r="F70" s="359"/>
      <c r="G70" s="349"/>
      <c r="H70" s="206"/>
      <c r="I70" s="206"/>
      <c r="J70" s="297">
        <f t="shared" si="5"/>
        <v>0</v>
      </c>
      <c r="K70" s="309"/>
      <c r="L70" s="191"/>
      <c r="M70" s="194" t="str">
        <f t="shared" si="6"/>
        <v/>
      </c>
      <c r="N70" s="193" t="str">
        <f t="shared" si="7"/>
        <v/>
      </c>
      <c r="O70" s="195" t="str">
        <f t="shared" si="8"/>
        <v/>
      </c>
      <c r="P70" s="252"/>
      <c r="Q70" s="466"/>
      <c r="R70" s="467"/>
      <c r="S70" s="467"/>
      <c r="T70" s="468"/>
      <c r="U70" s="261"/>
      <c r="V70" s="261"/>
      <c r="W70" s="261"/>
      <c r="X70" s="262"/>
      <c r="Y70" s="261"/>
    </row>
    <row r="71" spans="2:25" outlineLevel="1" x14ac:dyDescent="0.25">
      <c r="B71" s="180"/>
      <c r="C71" s="357"/>
      <c r="D71" s="358"/>
      <c r="E71" s="185">
        <f t="shared" si="4"/>
        <v>0</v>
      </c>
      <c r="F71" s="359"/>
      <c r="G71" s="349"/>
      <c r="H71" s="206"/>
      <c r="I71" s="206"/>
      <c r="J71" s="297">
        <f t="shared" si="5"/>
        <v>0</v>
      </c>
      <c r="K71" s="309"/>
      <c r="L71" s="191"/>
      <c r="M71" s="194" t="str">
        <f t="shared" si="6"/>
        <v/>
      </c>
      <c r="N71" s="193" t="str">
        <f t="shared" si="7"/>
        <v/>
      </c>
      <c r="O71" s="195" t="str">
        <f t="shared" si="8"/>
        <v/>
      </c>
      <c r="P71" s="252"/>
      <c r="Q71" s="466"/>
      <c r="R71" s="467"/>
      <c r="S71" s="467"/>
      <c r="T71" s="468"/>
      <c r="U71" s="261"/>
      <c r="V71" s="261"/>
      <c r="W71" s="261"/>
      <c r="X71" s="262"/>
      <c r="Y71" s="261"/>
    </row>
    <row r="72" spans="2:25" outlineLevel="1" x14ac:dyDescent="0.25">
      <c r="B72" s="180"/>
      <c r="C72" s="357"/>
      <c r="D72" s="358"/>
      <c r="E72" s="185">
        <f t="shared" si="4"/>
        <v>0</v>
      </c>
      <c r="F72" s="359"/>
      <c r="G72" s="349"/>
      <c r="H72" s="206"/>
      <c r="I72" s="206"/>
      <c r="J72" s="297">
        <f t="shared" si="5"/>
        <v>0</v>
      </c>
      <c r="K72" s="309"/>
      <c r="L72" s="191"/>
      <c r="M72" s="194" t="str">
        <f t="shared" si="6"/>
        <v/>
      </c>
      <c r="N72" s="193" t="str">
        <f t="shared" si="7"/>
        <v/>
      </c>
      <c r="O72" s="195" t="str">
        <f t="shared" si="8"/>
        <v/>
      </c>
      <c r="P72" s="252"/>
      <c r="Q72" s="466"/>
      <c r="R72" s="467"/>
      <c r="S72" s="467"/>
      <c r="T72" s="468"/>
      <c r="U72" s="261"/>
      <c r="V72" s="261"/>
      <c r="W72" s="261"/>
      <c r="X72" s="262"/>
      <c r="Y72" s="261"/>
    </row>
    <row r="73" spans="2:25" outlineLevel="1" x14ac:dyDescent="0.25">
      <c r="B73" s="180"/>
      <c r="C73" s="357"/>
      <c r="D73" s="358"/>
      <c r="E73" s="185">
        <f t="shared" si="4"/>
        <v>0</v>
      </c>
      <c r="F73" s="359"/>
      <c r="G73" s="349"/>
      <c r="H73" s="206"/>
      <c r="I73" s="206"/>
      <c r="J73" s="297">
        <f t="shared" si="5"/>
        <v>0</v>
      </c>
      <c r="K73" s="309"/>
      <c r="L73" s="191"/>
      <c r="M73" s="194" t="str">
        <f t="shared" si="6"/>
        <v/>
      </c>
      <c r="N73" s="193" t="str">
        <f t="shared" si="7"/>
        <v/>
      </c>
      <c r="O73" s="195" t="str">
        <f t="shared" si="8"/>
        <v/>
      </c>
      <c r="P73" s="252"/>
      <c r="Q73" s="466"/>
      <c r="R73" s="467"/>
      <c r="S73" s="467"/>
      <c r="T73" s="468"/>
      <c r="U73" s="261"/>
      <c r="V73" s="261"/>
      <c r="W73" s="261"/>
      <c r="X73" s="262"/>
      <c r="Y73" s="261"/>
    </row>
    <row r="74" spans="2:25" outlineLevel="1" x14ac:dyDescent="0.25">
      <c r="B74" s="180"/>
      <c r="C74" s="357"/>
      <c r="D74" s="358"/>
      <c r="E74" s="185">
        <f t="shared" si="4"/>
        <v>0</v>
      </c>
      <c r="F74" s="359"/>
      <c r="G74" s="349"/>
      <c r="H74" s="206"/>
      <c r="I74" s="206"/>
      <c r="J74" s="297">
        <f t="shared" si="5"/>
        <v>0</v>
      </c>
      <c r="K74" s="309"/>
      <c r="L74" s="191"/>
      <c r="M74" s="194" t="str">
        <f t="shared" si="6"/>
        <v/>
      </c>
      <c r="N74" s="193" t="str">
        <f t="shared" si="7"/>
        <v/>
      </c>
      <c r="O74" s="195" t="str">
        <f t="shared" si="8"/>
        <v/>
      </c>
      <c r="P74" s="252"/>
      <c r="Q74" s="466"/>
      <c r="R74" s="467"/>
      <c r="S74" s="467"/>
      <c r="T74" s="468"/>
      <c r="U74" s="261"/>
      <c r="V74" s="261"/>
      <c r="W74" s="261"/>
      <c r="X74" s="262"/>
      <c r="Y74" s="261"/>
    </row>
    <row r="75" spans="2:25" outlineLevel="1" x14ac:dyDescent="0.25">
      <c r="B75" s="180"/>
      <c r="C75" s="357"/>
      <c r="D75" s="358"/>
      <c r="E75" s="185">
        <f t="shared" si="4"/>
        <v>0</v>
      </c>
      <c r="F75" s="359"/>
      <c r="G75" s="349"/>
      <c r="H75" s="206"/>
      <c r="I75" s="206"/>
      <c r="J75" s="297">
        <f t="shared" si="5"/>
        <v>0</v>
      </c>
      <c r="K75" s="309"/>
      <c r="L75" s="191"/>
      <c r="M75" s="194" t="str">
        <f t="shared" si="6"/>
        <v/>
      </c>
      <c r="N75" s="193" t="str">
        <f t="shared" si="7"/>
        <v/>
      </c>
      <c r="O75" s="195" t="str">
        <f t="shared" si="8"/>
        <v/>
      </c>
      <c r="P75" s="252"/>
      <c r="Q75" s="466"/>
      <c r="R75" s="467"/>
      <c r="S75" s="467"/>
      <c r="T75" s="468"/>
      <c r="U75" s="261"/>
      <c r="V75" s="261"/>
      <c r="W75" s="261"/>
      <c r="X75" s="262"/>
      <c r="Y75" s="261"/>
    </row>
    <row r="76" spans="2:25" outlineLevel="1" x14ac:dyDescent="0.25">
      <c r="B76" s="180"/>
      <c r="C76" s="357"/>
      <c r="D76" s="358"/>
      <c r="E76" s="185">
        <f t="shared" si="4"/>
        <v>0</v>
      </c>
      <c r="F76" s="359"/>
      <c r="G76" s="349"/>
      <c r="H76" s="206"/>
      <c r="I76" s="206"/>
      <c r="J76" s="297">
        <f t="shared" si="5"/>
        <v>0</v>
      </c>
      <c r="K76" s="309"/>
      <c r="L76" s="191"/>
      <c r="M76" s="194" t="str">
        <f t="shared" si="6"/>
        <v/>
      </c>
      <c r="N76" s="193" t="str">
        <f t="shared" si="7"/>
        <v/>
      </c>
      <c r="O76" s="195" t="str">
        <f t="shared" si="8"/>
        <v/>
      </c>
      <c r="P76" s="252"/>
      <c r="Q76" s="466"/>
      <c r="R76" s="467"/>
      <c r="S76" s="467"/>
      <c r="T76" s="468"/>
      <c r="U76" s="261"/>
      <c r="V76" s="261"/>
      <c r="W76" s="261"/>
      <c r="X76" s="262"/>
      <c r="Y76" s="261"/>
    </row>
    <row r="77" spans="2:25" outlineLevel="1" x14ac:dyDescent="0.25">
      <c r="B77" s="180"/>
      <c r="C77" s="357"/>
      <c r="D77" s="358"/>
      <c r="E77" s="185">
        <f t="shared" si="4"/>
        <v>0</v>
      </c>
      <c r="F77" s="359"/>
      <c r="G77" s="349"/>
      <c r="H77" s="206"/>
      <c r="I77" s="206"/>
      <c r="J77" s="297">
        <f t="shared" si="5"/>
        <v>0</v>
      </c>
      <c r="K77" s="309"/>
      <c r="L77" s="191"/>
      <c r="M77" s="194" t="str">
        <f t="shared" si="6"/>
        <v/>
      </c>
      <c r="N77" s="193" t="str">
        <f t="shared" si="7"/>
        <v/>
      </c>
      <c r="O77" s="195" t="str">
        <f t="shared" si="8"/>
        <v/>
      </c>
      <c r="P77" s="252"/>
      <c r="Q77" s="466"/>
      <c r="R77" s="467"/>
      <c r="S77" s="467"/>
      <c r="T77" s="468"/>
      <c r="U77" s="261"/>
      <c r="V77" s="261"/>
      <c r="W77" s="261"/>
      <c r="X77" s="262"/>
      <c r="Y77" s="261"/>
    </row>
    <row r="78" spans="2:25" outlineLevel="1" x14ac:dyDescent="0.25">
      <c r="B78" s="180"/>
      <c r="C78" s="357"/>
      <c r="D78" s="358"/>
      <c r="E78" s="185">
        <f t="shared" si="4"/>
        <v>0</v>
      </c>
      <c r="F78" s="359"/>
      <c r="G78" s="349"/>
      <c r="H78" s="206"/>
      <c r="I78" s="206"/>
      <c r="J78" s="297">
        <f t="shared" si="5"/>
        <v>0</v>
      </c>
      <c r="K78" s="309"/>
      <c r="L78" s="191"/>
      <c r="M78" s="194" t="str">
        <f t="shared" si="6"/>
        <v/>
      </c>
      <c r="N78" s="193" t="str">
        <f t="shared" si="7"/>
        <v/>
      </c>
      <c r="O78" s="195" t="str">
        <f t="shared" si="8"/>
        <v/>
      </c>
      <c r="P78" s="252"/>
      <c r="Q78" s="466"/>
      <c r="R78" s="467"/>
      <c r="S78" s="467"/>
      <c r="T78" s="468"/>
      <c r="U78" s="261"/>
      <c r="V78" s="261"/>
      <c r="W78" s="261"/>
      <c r="X78" s="262"/>
      <c r="Y78" s="261"/>
    </row>
    <row r="79" spans="2:25" outlineLevel="1" x14ac:dyDescent="0.25">
      <c r="B79" s="180"/>
      <c r="C79" s="357"/>
      <c r="D79" s="358"/>
      <c r="E79" s="185">
        <f t="shared" si="4"/>
        <v>0</v>
      </c>
      <c r="F79" s="359"/>
      <c r="G79" s="349"/>
      <c r="H79" s="206"/>
      <c r="I79" s="206"/>
      <c r="J79" s="297">
        <f t="shared" si="5"/>
        <v>0</v>
      </c>
      <c r="K79" s="309"/>
      <c r="L79" s="191"/>
      <c r="M79" s="194" t="str">
        <f t="shared" si="6"/>
        <v/>
      </c>
      <c r="N79" s="193" t="str">
        <f t="shared" si="7"/>
        <v/>
      </c>
      <c r="O79" s="195" t="str">
        <f t="shared" si="8"/>
        <v/>
      </c>
      <c r="P79" s="252"/>
      <c r="Q79" s="466"/>
      <c r="R79" s="467"/>
      <c r="S79" s="467"/>
      <c r="T79" s="468"/>
      <c r="U79" s="261"/>
      <c r="V79" s="261"/>
      <c r="W79" s="261"/>
      <c r="X79" s="262"/>
      <c r="Y79" s="261"/>
    </row>
    <row r="80" spans="2:25" outlineLevel="1" x14ac:dyDescent="0.25">
      <c r="B80" s="180"/>
      <c r="C80" s="357"/>
      <c r="D80" s="358"/>
      <c r="E80" s="185">
        <f t="shared" si="4"/>
        <v>0</v>
      </c>
      <c r="F80" s="359"/>
      <c r="G80" s="349"/>
      <c r="H80" s="206"/>
      <c r="I80" s="206"/>
      <c r="J80" s="297">
        <f t="shared" si="5"/>
        <v>0</v>
      </c>
      <c r="K80" s="309"/>
      <c r="L80" s="191"/>
      <c r="M80" s="194" t="str">
        <f t="shared" si="6"/>
        <v/>
      </c>
      <c r="N80" s="193" t="str">
        <f t="shared" si="7"/>
        <v/>
      </c>
      <c r="O80" s="195" t="str">
        <f t="shared" si="8"/>
        <v/>
      </c>
      <c r="P80" s="252"/>
      <c r="Q80" s="466"/>
      <c r="R80" s="467"/>
      <c r="S80" s="467"/>
      <c r="T80" s="468"/>
      <c r="U80" s="261"/>
      <c r="V80" s="261"/>
      <c r="W80" s="261"/>
      <c r="X80" s="262"/>
      <c r="Y80" s="261"/>
    </row>
    <row r="81" spans="2:25" outlineLevel="1" x14ac:dyDescent="0.25">
      <c r="B81" s="180"/>
      <c r="C81" s="357"/>
      <c r="D81" s="358"/>
      <c r="E81" s="185">
        <f t="shared" si="4"/>
        <v>0</v>
      </c>
      <c r="F81" s="359"/>
      <c r="G81" s="349"/>
      <c r="H81" s="206"/>
      <c r="I81" s="206"/>
      <c r="J81" s="297">
        <f t="shared" si="5"/>
        <v>0</v>
      </c>
      <c r="K81" s="309"/>
      <c r="L81" s="191"/>
      <c r="M81" s="194" t="str">
        <f t="shared" si="6"/>
        <v/>
      </c>
      <c r="N81" s="193" t="str">
        <f t="shared" si="7"/>
        <v/>
      </c>
      <c r="O81" s="195" t="str">
        <f t="shared" si="8"/>
        <v/>
      </c>
      <c r="P81" s="252"/>
      <c r="Q81" s="466"/>
      <c r="R81" s="467"/>
      <c r="S81" s="467"/>
      <c r="T81" s="468"/>
      <c r="U81" s="261"/>
      <c r="V81" s="261"/>
      <c r="W81" s="261"/>
      <c r="X81" s="262"/>
      <c r="Y81" s="261"/>
    </row>
    <row r="82" spans="2:25" outlineLevel="1" x14ac:dyDescent="0.25">
      <c r="B82" s="180"/>
      <c r="C82" s="357"/>
      <c r="D82" s="358"/>
      <c r="E82" s="185">
        <f t="shared" si="4"/>
        <v>0</v>
      </c>
      <c r="F82" s="359"/>
      <c r="G82" s="349"/>
      <c r="H82" s="206"/>
      <c r="I82" s="206"/>
      <c r="J82" s="297">
        <f t="shared" si="5"/>
        <v>0</v>
      </c>
      <c r="K82" s="309"/>
      <c r="L82" s="191"/>
      <c r="M82" s="194" t="str">
        <f t="shared" si="6"/>
        <v/>
      </c>
      <c r="N82" s="193" t="str">
        <f t="shared" si="7"/>
        <v/>
      </c>
      <c r="O82" s="195" t="str">
        <f t="shared" si="8"/>
        <v/>
      </c>
      <c r="P82" s="252"/>
      <c r="Q82" s="466"/>
      <c r="R82" s="467"/>
      <c r="S82" s="467"/>
      <c r="T82" s="468"/>
      <c r="U82" s="261"/>
      <c r="V82" s="261"/>
      <c r="W82" s="261"/>
      <c r="X82" s="262"/>
      <c r="Y82" s="261"/>
    </row>
    <row r="83" spans="2:25" outlineLevel="1" x14ac:dyDescent="0.25">
      <c r="B83" s="180"/>
      <c r="C83" s="357"/>
      <c r="D83" s="358"/>
      <c r="E83" s="185">
        <f t="shared" si="4"/>
        <v>0</v>
      </c>
      <c r="F83" s="359"/>
      <c r="G83" s="349"/>
      <c r="H83" s="206"/>
      <c r="I83" s="206"/>
      <c r="J83" s="297">
        <f t="shared" si="5"/>
        <v>0</v>
      </c>
      <c r="K83" s="309"/>
      <c r="L83" s="191"/>
      <c r="M83" s="194" t="str">
        <f t="shared" si="6"/>
        <v/>
      </c>
      <c r="N83" s="193" t="str">
        <f t="shared" si="7"/>
        <v/>
      </c>
      <c r="O83" s="195" t="str">
        <f t="shared" si="8"/>
        <v/>
      </c>
      <c r="P83" s="252"/>
      <c r="Q83" s="466"/>
      <c r="R83" s="467"/>
      <c r="S83" s="467"/>
      <c r="T83" s="468"/>
      <c r="U83" s="261"/>
      <c r="V83" s="261"/>
      <c r="W83" s="261"/>
      <c r="X83" s="262"/>
      <c r="Y83" s="261"/>
    </row>
    <row r="84" spans="2:25" outlineLevel="1" x14ac:dyDescent="0.25">
      <c r="B84" s="180"/>
      <c r="C84" s="357"/>
      <c r="D84" s="358"/>
      <c r="E84" s="185">
        <f t="shared" si="4"/>
        <v>0</v>
      </c>
      <c r="F84" s="359"/>
      <c r="G84" s="349"/>
      <c r="H84" s="206"/>
      <c r="I84" s="206"/>
      <c r="J84" s="297">
        <f t="shared" si="5"/>
        <v>0</v>
      </c>
      <c r="K84" s="309"/>
      <c r="L84" s="191"/>
      <c r="M84" s="194" t="str">
        <f t="shared" si="6"/>
        <v/>
      </c>
      <c r="N84" s="193" t="str">
        <f t="shared" si="7"/>
        <v/>
      </c>
      <c r="O84" s="195" t="str">
        <f t="shared" si="8"/>
        <v/>
      </c>
      <c r="P84" s="252"/>
      <c r="Q84" s="466"/>
      <c r="R84" s="467"/>
      <c r="S84" s="467"/>
      <c r="T84" s="468"/>
      <c r="U84" s="261"/>
      <c r="V84" s="261"/>
      <c r="W84" s="261"/>
      <c r="X84" s="262"/>
      <c r="Y84" s="261"/>
    </row>
    <row r="85" spans="2:25" outlineLevel="1" x14ac:dyDescent="0.25">
      <c r="B85" s="180"/>
      <c r="C85" s="357"/>
      <c r="D85" s="358"/>
      <c r="E85" s="185">
        <f t="shared" si="4"/>
        <v>0</v>
      </c>
      <c r="F85" s="359"/>
      <c r="G85" s="349"/>
      <c r="H85" s="206"/>
      <c r="I85" s="206"/>
      <c r="J85" s="297">
        <f t="shared" si="5"/>
        <v>0</v>
      </c>
      <c r="K85" s="309"/>
      <c r="L85" s="191"/>
      <c r="M85" s="194" t="str">
        <f t="shared" si="6"/>
        <v/>
      </c>
      <c r="N85" s="193" t="str">
        <f t="shared" si="7"/>
        <v/>
      </c>
      <c r="O85" s="195" t="str">
        <f t="shared" si="8"/>
        <v/>
      </c>
      <c r="P85" s="252"/>
      <c r="Q85" s="466"/>
      <c r="R85" s="467"/>
      <c r="S85" s="467"/>
      <c r="T85" s="468"/>
      <c r="U85" s="261"/>
      <c r="V85" s="261"/>
      <c r="W85" s="261"/>
      <c r="X85" s="262"/>
      <c r="Y85" s="261"/>
    </row>
    <row r="86" spans="2:25" outlineLevel="1" x14ac:dyDescent="0.25">
      <c r="B86" s="180"/>
      <c r="C86" s="357"/>
      <c r="D86" s="358"/>
      <c r="E86" s="185">
        <f t="shared" si="4"/>
        <v>0</v>
      </c>
      <c r="F86" s="359"/>
      <c r="G86" s="349"/>
      <c r="H86" s="206"/>
      <c r="I86" s="206"/>
      <c r="J86" s="297">
        <f t="shared" si="5"/>
        <v>0</v>
      </c>
      <c r="K86" s="309"/>
      <c r="L86" s="191"/>
      <c r="M86" s="194" t="str">
        <f t="shared" si="6"/>
        <v/>
      </c>
      <c r="N86" s="193" t="str">
        <f t="shared" si="7"/>
        <v/>
      </c>
      <c r="O86" s="195" t="str">
        <f t="shared" si="8"/>
        <v/>
      </c>
      <c r="P86" s="252"/>
      <c r="Q86" s="466"/>
      <c r="R86" s="467"/>
      <c r="S86" s="467"/>
      <c r="T86" s="468"/>
      <c r="U86" s="261"/>
      <c r="V86" s="261"/>
      <c r="W86" s="261"/>
      <c r="X86" s="262"/>
      <c r="Y86" s="261"/>
    </row>
    <row r="87" spans="2:25" outlineLevel="1" x14ac:dyDescent="0.25">
      <c r="B87" s="180"/>
      <c r="C87" s="357"/>
      <c r="D87" s="358"/>
      <c r="E87" s="185">
        <f t="shared" si="4"/>
        <v>0</v>
      </c>
      <c r="F87" s="359"/>
      <c r="G87" s="349"/>
      <c r="H87" s="206"/>
      <c r="I87" s="206"/>
      <c r="J87" s="297">
        <f t="shared" si="5"/>
        <v>0</v>
      </c>
      <c r="K87" s="309"/>
      <c r="L87" s="191"/>
      <c r="M87" s="194" t="str">
        <f t="shared" si="6"/>
        <v/>
      </c>
      <c r="N87" s="193" t="str">
        <f t="shared" si="7"/>
        <v/>
      </c>
      <c r="O87" s="195" t="str">
        <f t="shared" si="8"/>
        <v/>
      </c>
      <c r="P87" s="252"/>
      <c r="Q87" s="466"/>
      <c r="R87" s="467"/>
      <c r="S87" s="467"/>
      <c r="T87" s="468"/>
      <c r="U87" s="261"/>
      <c r="V87" s="261"/>
      <c r="W87" s="261"/>
      <c r="X87" s="262"/>
      <c r="Y87" s="261"/>
    </row>
    <row r="88" spans="2:25" outlineLevel="1" x14ac:dyDescent="0.25">
      <c r="B88" s="180"/>
      <c r="C88" s="357"/>
      <c r="D88" s="358"/>
      <c r="E88" s="185">
        <f t="shared" si="4"/>
        <v>0</v>
      </c>
      <c r="F88" s="359"/>
      <c r="G88" s="349"/>
      <c r="H88" s="206"/>
      <c r="I88" s="206"/>
      <c r="J88" s="297">
        <f t="shared" si="5"/>
        <v>0</v>
      </c>
      <c r="K88" s="309"/>
      <c r="L88" s="191"/>
      <c r="M88" s="194" t="str">
        <f t="shared" si="6"/>
        <v/>
      </c>
      <c r="N88" s="193" t="str">
        <f t="shared" si="7"/>
        <v/>
      </c>
      <c r="O88" s="195" t="str">
        <f t="shared" si="8"/>
        <v/>
      </c>
      <c r="P88" s="252"/>
      <c r="Q88" s="466"/>
      <c r="R88" s="467"/>
      <c r="S88" s="467"/>
      <c r="T88" s="468"/>
      <c r="U88" s="261"/>
      <c r="V88" s="261"/>
      <c r="W88" s="261"/>
      <c r="X88" s="262"/>
      <c r="Y88" s="261"/>
    </row>
    <row r="89" spans="2:25" outlineLevel="1" x14ac:dyDescent="0.25">
      <c r="B89" s="180"/>
      <c r="C89" s="357"/>
      <c r="D89" s="358"/>
      <c r="E89" s="185">
        <f t="shared" si="4"/>
        <v>0</v>
      </c>
      <c r="F89" s="359"/>
      <c r="G89" s="349"/>
      <c r="H89" s="206"/>
      <c r="I89" s="206"/>
      <c r="J89" s="297">
        <f t="shared" si="5"/>
        <v>0</v>
      </c>
      <c r="K89" s="309"/>
      <c r="L89" s="191"/>
      <c r="M89" s="194" t="str">
        <f t="shared" si="6"/>
        <v/>
      </c>
      <c r="N89" s="193" t="str">
        <f t="shared" si="7"/>
        <v/>
      </c>
      <c r="O89" s="195" t="str">
        <f t="shared" si="8"/>
        <v/>
      </c>
      <c r="P89" s="252"/>
      <c r="Q89" s="466"/>
      <c r="R89" s="467"/>
      <c r="S89" s="467"/>
      <c r="T89" s="468"/>
      <c r="U89" s="261"/>
      <c r="V89" s="261"/>
      <c r="W89" s="261"/>
      <c r="X89" s="262"/>
      <c r="Y89" s="261"/>
    </row>
    <row r="90" spans="2:25" outlineLevel="1" x14ac:dyDescent="0.25">
      <c r="B90" s="180"/>
      <c r="C90" s="357"/>
      <c r="D90" s="358"/>
      <c r="E90" s="185">
        <f t="shared" si="4"/>
        <v>0</v>
      </c>
      <c r="F90" s="359"/>
      <c r="G90" s="349"/>
      <c r="H90" s="206"/>
      <c r="I90" s="206"/>
      <c r="J90" s="297">
        <f t="shared" si="5"/>
        <v>0</v>
      </c>
      <c r="K90" s="309"/>
      <c r="L90" s="191"/>
      <c r="M90" s="194" t="str">
        <f t="shared" si="6"/>
        <v/>
      </c>
      <c r="N90" s="193" t="str">
        <f t="shared" si="7"/>
        <v/>
      </c>
      <c r="O90" s="195" t="str">
        <f t="shared" si="8"/>
        <v/>
      </c>
      <c r="P90" s="252"/>
      <c r="Q90" s="466"/>
      <c r="R90" s="467"/>
      <c r="S90" s="467"/>
      <c r="T90" s="468"/>
      <c r="U90" s="261"/>
      <c r="V90" s="261"/>
      <c r="W90" s="261"/>
      <c r="X90" s="262"/>
      <c r="Y90" s="261"/>
    </row>
    <row r="91" spans="2:25" outlineLevel="1" x14ac:dyDescent="0.25">
      <c r="B91" s="180"/>
      <c r="C91" s="357"/>
      <c r="D91" s="358"/>
      <c r="E91" s="185">
        <f t="shared" si="4"/>
        <v>0</v>
      </c>
      <c r="F91" s="359"/>
      <c r="G91" s="349"/>
      <c r="H91" s="206"/>
      <c r="I91" s="206"/>
      <c r="J91" s="297">
        <f t="shared" si="5"/>
        <v>0</v>
      </c>
      <c r="K91" s="309"/>
      <c r="L91" s="191"/>
      <c r="M91" s="194" t="str">
        <f t="shared" si="6"/>
        <v/>
      </c>
      <c r="N91" s="193" t="str">
        <f t="shared" si="7"/>
        <v/>
      </c>
      <c r="O91" s="195" t="str">
        <f t="shared" si="8"/>
        <v/>
      </c>
      <c r="P91" s="252"/>
      <c r="Q91" s="466"/>
      <c r="R91" s="467"/>
      <c r="S91" s="467"/>
      <c r="T91" s="468"/>
      <c r="U91" s="261"/>
      <c r="V91" s="261"/>
      <c r="W91" s="261"/>
      <c r="X91" s="262"/>
      <c r="Y91" s="261"/>
    </row>
    <row r="92" spans="2:25" outlineLevel="1" x14ac:dyDescent="0.25">
      <c r="B92" s="180"/>
      <c r="C92" s="357"/>
      <c r="D92" s="358"/>
      <c r="E92" s="185">
        <f t="shared" si="4"/>
        <v>0</v>
      </c>
      <c r="F92" s="359"/>
      <c r="G92" s="349"/>
      <c r="H92" s="206"/>
      <c r="I92" s="206"/>
      <c r="J92" s="297">
        <f t="shared" si="5"/>
        <v>0</v>
      </c>
      <c r="K92" s="309"/>
      <c r="L92" s="191"/>
      <c r="M92" s="194" t="str">
        <f t="shared" si="6"/>
        <v/>
      </c>
      <c r="N92" s="193" t="str">
        <f t="shared" si="7"/>
        <v/>
      </c>
      <c r="O92" s="195" t="str">
        <f t="shared" si="8"/>
        <v/>
      </c>
      <c r="P92" s="252"/>
      <c r="Q92" s="466"/>
      <c r="R92" s="467"/>
      <c r="S92" s="467"/>
      <c r="T92" s="468"/>
      <c r="U92" s="261"/>
      <c r="V92" s="261"/>
      <c r="W92" s="261"/>
      <c r="X92" s="262"/>
      <c r="Y92" s="261"/>
    </row>
    <row r="93" spans="2:25" outlineLevel="1" x14ac:dyDescent="0.25">
      <c r="B93" s="180"/>
      <c r="C93" s="357"/>
      <c r="D93" s="358"/>
      <c r="E93" s="185">
        <f t="shared" si="4"/>
        <v>0</v>
      </c>
      <c r="F93" s="359"/>
      <c r="G93" s="349"/>
      <c r="H93" s="206"/>
      <c r="I93" s="206"/>
      <c r="J93" s="297">
        <f t="shared" si="5"/>
        <v>0</v>
      </c>
      <c r="K93" s="309"/>
      <c r="L93" s="191"/>
      <c r="M93" s="194" t="str">
        <f t="shared" si="6"/>
        <v/>
      </c>
      <c r="N93" s="193" t="str">
        <f t="shared" si="7"/>
        <v/>
      </c>
      <c r="O93" s="195" t="str">
        <f t="shared" si="8"/>
        <v/>
      </c>
      <c r="P93" s="252"/>
      <c r="Q93" s="466"/>
      <c r="R93" s="467"/>
      <c r="S93" s="467"/>
      <c r="T93" s="468"/>
      <c r="U93" s="261"/>
      <c r="V93" s="261"/>
      <c r="W93" s="261"/>
      <c r="X93" s="262"/>
      <c r="Y93" s="261"/>
    </row>
    <row r="94" spans="2:25" outlineLevel="1" x14ac:dyDescent="0.25">
      <c r="B94" s="180"/>
      <c r="C94" s="357"/>
      <c r="D94" s="358"/>
      <c r="E94" s="185">
        <f t="shared" si="4"/>
        <v>0</v>
      </c>
      <c r="F94" s="359"/>
      <c r="G94" s="349"/>
      <c r="H94" s="206"/>
      <c r="I94" s="206"/>
      <c r="J94" s="297">
        <f t="shared" si="5"/>
        <v>0</v>
      </c>
      <c r="K94" s="309"/>
      <c r="L94" s="191"/>
      <c r="M94" s="194" t="str">
        <f t="shared" si="6"/>
        <v/>
      </c>
      <c r="N94" s="193" t="str">
        <f t="shared" si="7"/>
        <v/>
      </c>
      <c r="O94" s="195" t="str">
        <f t="shared" si="8"/>
        <v/>
      </c>
      <c r="P94" s="252"/>
      <c r="Q94" s="466"/>
      <c r="R94" s="467"/>
      <c r="S94" s="467"/>
      <c r="T94" s="468"/>
      <c r="U94" s="261"/>
      <c r="V94" s="261"/>
      <c r="W94" s="261"/>
      <c r="X94" s="262"/>
      <c r="Y94" s="261"/>
    </row>
    <row r="95" spans="2:25" outlineLevel="1" x14ac:dyDescent="0.25">
      <c r="B95" s="180"/>
      <c r="C95" s="357"/>
      <c r="D95" s="358"/>
      <c r="E95" s="185">
        <f t="shared" si="4"/>
        <v>0</v>
      </c>
      <c r="F95" s="359"/>
      <c r="G95" s="349"/>
      <c r="H95" s="206"/>
      <c r="I95" s="206"/>
      <c r="J95" s="297">
        <f t="shared" si="5"/>
        <v>0</v>
      </c>
      <c r="K95" s="309"/>
      <c r="L95" s="191"/>
      <c r="M95" s="194" t="str">
        <f t="shared" si="6"/>
        <v/>
      </c>
      <c r="N95" s="193" t="str">
        <f t="shared" si="7"/>
        <v/>
      </c>
      <c r="O95" s="195" t="str">
        <f t="shared" si="8"/>
        <v/>
      </c>
      <c r="P95" s="252"/>
      <c r="Q95" s="466"/>
      <c r="R95" s="467"/>
      <c r="S95" s="467"/>
      <c r="T95" s="468"/>
      <c r="U95" s="261"/>
      <c r="V95" s="261"/>
      <c r="W95" s="261"/>
      <c r="X95" s="262"/>
      <c r="Y95" s="261"/>
    </row>
    <row r="96" spans="2:25" outlineLevel="1" x14ac:dyDescent="0.25">
      <c r="B96" s="180"/>
      <c r="C96" s="357"/>
      <c r="D96" s="358"/>
      <c r="E96" s="185">
        <f t="shared" si="4"/>
        <v>0</v>
      </c>
      <c r="F96" s="359"/>
      <c r="G96" s="349"/>
      <c r="H96" s="206"/>
      <c r="I96" s="206"/>
      <c r="J96" s="297">
        <f t="shared" si="5"/>
        <v>0</v>
      </c>
      <c r="K96" s="309"/>
      <c r="L96" s="191"/>
      <c r="M96" s="194" t="str">
        <f t="shared" si="6"/>
        <v/>
      </c>
      <c r="N96" s="193" t="str">
        <f t="shared" si="7"/>
        <v/>
      </c>
      <c r="O96" s="195" t="str">
        <f t="shared" si="8"/>
        <v/>
      </c>
      <c r="P96" s="252"/>
      <c r="Q96" s="466"/>
      <c r="R96" s="467"/>
      <c r="S96" s="467"/>
      <c r="T96" s="468"/>
      <c r="U96" s="261"/>
      <c r="V96" s="261"/>
      <c r="W96" s="261"/>
      <c r="X96" s="262"/>
      <c r="Y96" s="261"/>
    </row>
    <row r="97" spans="2:25" outlineLevel="1" x14ac:dyDescent="0.25">
      <c r="B97" s="180"/>
      <c r="C97" s="357"/>
      <c r="D97" s="358"/>
      <c r="E97" s="185">
        <f t="shared" si="4"/>
        <v>0</v>
      </c>
      <c r="F97" s="359"/>
      <c r="G97" s="349"/>
      <c r="H97" s="206"/>
      <c r="I97" s="206"/>
      <c r="J97" s="297">
        <f t="shared" si="5"/>
        <v>0</v>
      </c>
      <c r="K97" s="309"/>
      <c r="L97" s="191"/>
      <c r="M97" s="194" t="str">
        <f t="shared" si="6"/>
        <v/>
      </c>
      <c r="N97" s="193" t="str">
        <f t="shared" si="7"/>
        <v/>
      </c>
      <c r="O97" s="195" t="str">
        <f t="shared" si="8"/>
        <v/>
      </c>
      <c r="P97" s="252"/>
      <c r="Q97" s="466"/>
      <c r="R97" s="467"/>
      <c r="S97" s="467"/>
      <c r="T97" s="468"/>
      <c r="U97" s="261"/>
      <c r="V97" s="261"/>
      <c r="W97" s="261"/>
      <c r="X97" s="262"/>
      <c r="Y97" s="261"/>
    </row>
    <row r="98" spans="2:25" outlineLevel="1" x14ac:dyDescent="0.25">
      <c r="B98" s="180"/>
      <c r="C98" s="357"/>
      <c r="D98" s="358"/>
      <c r="E98" s="185">
        <f t="shared" si="4"/>
        <v>0</v>
      </c>
      <c r="F98" s="359"/>
      <c r="G98" s="349"/>
      <c r="H98" s="206"/>
      <c r="I98" s="206"/>
      <c r="J98" s="297">
        <f t="shared" si="5"/>
        <v>0</v>
      </c>
      <c r="K98" s="309"/>
      <c r="L98" s="191"/>
      <c r="M98" s="194" t="str">
        <f t="shared" si="6"/>
        <v/>
      </c>
      <c r="N98" s="193" t="str">
        <f t="shared" si="7"/>
        <v/>
      </c>
      <c r="O98" s="195" t="str">
        <f t="shared" si="8"/>
        <v/>
      </c>
      <c r="P98" s="252"/>
      <c r="Q98" s="466"/>
      <c r="R98" s="467"/>
      <c r="S98" s="467"/>
      <c r="T98" s="468"/>
      <c r="U98" s="261"/>
      <c r="V98" s="261"/>
      <c r="W98" s="261"/>
      <c r="X98" s="262"/>
      <c r="Y98" s="261"/>
    </row>
    <row r="99" spans="2:25" outlineLevel="1" x14ac:dyDescent="0.25">
      <c r="B99" s="180"/>
      <c r="C99" s="357"/>
      <c r="D99" s="358"/>
      <c r="E99" s="185">
        <f t="shared" si="4"/>
        <v>0</v>
      </c>
      <c r="F99" s="359"/>
      <c r="G99" s="349"/>
      <c r="H99" s="206"/>
      <c r="I99" s="206"/>
      <c r="J99" s="297">
        <f t="shared" si="5"/>
        <v>0</v>
      </c>
      <c r="K99" s="309"/>
      <c r="L99" s="191"/>
      <c r="M99" s="194" t="str">
        <f t="shared" si="6"/>
        <v/>
      </c>
      <c r="N99" s="193" t="str">
        <f t="shared" si="7"/>
        <v/>
      </c>
      <c r="O99" s="195" t="str">
        <f t="shared" si="8"/>
        <v/>
      </c>
      <c r="P99" s="252"/>
      <c r="Q99" s="466"/>
      <c r="R99" s="467"/>
      <c r="S99" s="467"/>
      <c r="T99" s="468"/>
      <c r="U99" s="261"/>
      <c r="V99" s="261"/>
      <c r="W99" s="261"/>
      <c r="X99" s="262"/>
      <c r="Y99" s="261"/>
    </row>
    <row r="100" spans="2:25" outlineLevel="1" x14ac:dyDescent="0.25">
      <c r="B100" s="180"/>
      <c r="C100" s="357"/>
      <c r="D100" s="358"/>
      <c r="E100" s="185">
        <f t="shared" si="4"/>
        <v>0</v>
      </c>
      <c r="F100" s="359"/>
      <c r="G100" s="349"/>
      <c r="H100" s="206"/>
      <c r="I100" s="206"/>
      <c r="J100" s="297">
        <f t="shared" si="5"/>
        <v>0</v>
      </c>
      <c r="K100" s="309"/>
      <c r="L100" s="191"/>
      <c r="M100" s="194" t="str">
        <f t="shared" si="6"/>
        <v/>
      </c>
      <c r="N100" s="193" t="str">
        <f t="shared" si="7"/>
        <v/>
      </c>
      <c r="O100" s="195" t="str">
        <f t="shared" si="8"/>
        <v/>
      </c>
      <c r="P100" s="252"/>
      <c r="Q100" s="466"/>
      <c r="R100" s="467"/>
      <c r="S100" s="467"/>
      <c r="T100" s="468"/>
      <c r="U100" s="261"/>
      <c r="V100" s="261"/>
      <c r="W100" s="261"/>
      <c r="X100" s="262"/>
      <c r="Y100" s="261"/>
    </row>
    <row r="101" spans="2:25" outlineLevel="1" x14ac:dyDescent="0.25">
      <c r="B101" s="180"/>
      <c r="C101" s="357"/>
      <c r="D101" s="358"/>
      <c r="E101" s="185">
        <f t="shared" si="4"/>
        <v>0</v>
      </c>
      <c r="F101" s="359"/>
      <c r="G101" s="349"/>
      <c r="H101" s="206"/>
      <c r="I101" s="206"/>
      <c r="J101" s="297">
        <f t="shared" si="5"/>
        <v>0</v>
      </c>
      <c r="K101" s="309"/>
      <c r="L101" s="191"/>
      <c r="M101" s="194" t="str">
        <f t="shared" si="6"/>
        <v/>
      </c>
      <c r="N101" s="193" t="str">
        <f t="shared" si="7"/>
        <v/>
      </c>
      <c r="O101" s="195" t="str">
        <f t="shared" si="8"/>
        <v/>
      </c>
      <c r="P101" s="252"/>
      <c r="Q101" s="466"/>
      <c r="R101" s="467"/>
      <c r="S101" s="467"/>
      <c r="T101" s="468"/>
      <c r="U101" s="261"/>
      <c r="V101" s="261"/>
      <c r="W101" s="261"/>
      <c r="X101" s="262"/>
      <c r="Y101" s="261"/>
    </row>
    <row r="102" spans="2:25" outlineLevel="1" x14ac:dyDescent="0.25">
      <c r="B102" s="180"/>
      <c r="C102" s="357"/>
      <c r="D102" s="358"/>
      <c r="E102" s="185">
        <f t="shared" si="4"/>
        <v>0</v>
      </c>
      <c r="F102" s="359"/>
      <c r="G102" s="349"/>
      <c r="H102" s="206"/>
      <c r="I102" s="206"/>
      <c r="J102" s="297">
        <f t="shared" si="5"/>
        <v>0</v>
      </c>
      <c r="K102" s="309"/>
      <c r="L102" s="191"/>
      <c r="M102" s="194" t="str">
        <f t="shared" si="6"/>
        <v/>
      </c>
      <c r="N102" s="193" t="str">
        <f t="shared" si="7"/>
        <v/>
      </c>
      <c r="O102" s="195" t="str">
        <f t="shared" si="8"/>
        <v/>
      </c>
      <c r="P102" s="252"/>
      <c r="Q102" s="466"/>
      <c r="R102" s="467"/>
      <c r="S102" s="467"/>
      <c r="T102" s="468"/>
      <c r="U102" s="261"/>
      <c r="V102" s="261"/>
      <c r="W102" s="261"/>
      <c r="X102" s="262"/>
      <c r="Y102" s="261"/>
    </row>
    <row r="103" spans="2:25" outlineLevel="1" x14ac:dyDescent="0.25">
      <c r="B103" s="180"/>
      <c r="C103" s="357"/>
      <c r="D103" s="358"/>
      <c r="E103" s="185">
        <f t="shared" si="4"/>
        <v>0</v>
      </c>
      <c r="F103" s="359"/>
      <c r="G103" s="349"/>
      <c r="H103" s="206"/>
      <c r="I103" s="206"/>
      <c r="J103" s="297">
        <f t="shared" si="5"/>
        <v>0</v>
      </c>
      <c r="K103" s="309"/>
      <c r="L103" s="191"/>
      <c r="M103" s="194" t="str">
        <f t="shared" si="6"/>
        <v/>
      </c>
      <c r="N103" s="193" t="str">
        <f t="shared" si="7"/>
        <v/>
      </c>
      <c r="O103" s="195" t="str">
        <f t="shared" si="8"/>
        <v/>
      </c>
      <c r="P103" s="252"/>
      <c r="Q103" s="466"/>
      <c r="R103" s="467"/>
      <c r="S103" s="467"/>
      <c r="T103" s="468"/>
      <c r="U103" s="261"/>
      <c r="V103" s="261"/>
      <c r="W103" s="261"/>
      <c r="X103" s="262"/>
      <c r="Y103" s="261"/>
    </row>
    <row r="104" spans="2:25" outlineLevel="1" x14ac:dyDescent="0.25">
      <c r="B104" s="180"/>
      <c r="C104" s="357"/>
      <c r="D104" s="358"/>
      <c r="E104" s="185">
        <f t="shared" si="4"/>
        <v>0</v>
      </c>
      <c r="F104" s="359"/>
      <c r="G104" s="349"/>
      <c r="H104" s="206"/>
      <c r="I104" s="206"/>
      <c r="J104" s="297">
        <f t="shared" si="5"/>
        <v>0</v>
      </c>
      <c r="K104" s="309"/>
      <c r="L104" s="191"/>
      <c r="M104" s="194" t="str">
        <f t="shared" si="6"/>
        <v/>
      </c>
      <c r="N104" s="193" t="str">
        <f t="shared" si="7"/>
        <v/>
      </c>
      <c r="O104" s="195" t="str">
        <f t="shared" si="8"/>
        <v/>
      </c>
      <c r="P104" s="252"/>
      <c r="Q104" s="466"/>
      <c r="R104" s="467"/>
      <c r="S104" s="467"/>
      <c r="T104" s="468"/>
      <c r="U104" s="261"/>
      <c r="V104" s="261"/>
      <c r="W104" s="261"/>
      <c r="X104" s="262"/>
      <c r="Y104" s="261"/>
    </row>
    <row r="105" spans="2:25" outlineLevel="1" x14ac:dyDescent="0.25">
      <c r="B105" s="180"/>
      <c r="C105" s="357"/>
      <c r="D105" s="358"/>
      <c r="E105" s="185">
        <f t="shared" si="4"/>
        <v>0</v>
      </c>
      <c r="F105" s="359"/>
      <c r="G105" s="349"/>
      <c r="H105" s="206"/>
      <c r="I105" s="206"/>
      <c r="J105" s="297">
        <f t="shared" si="5"/>
        <v>0</v>
      </c>
      <c r="K105" s="309"/>
      <c r="L105" s="191"/>
      <c r="M105" s="194" t="str">
        <f t="shared" si="6"/>
        <v/>
      </c>
      <c r="N105" s="193" t="str">
        <f t="shared" si="7"/>
        <v/>
      </c>
      <c r="O105" s="195" t="str">
        <f t="shared" si="8"/>
        <v/>
      </c>
      <c r="P105" s="252"/>
      <c r="Q105" s="466"/>
      <c r="R105" s="467"/>
      <c r="S105" s="467"/>
      <c r="T105" s="468"/>
      <c r="U105" s="261"/>
      <c r="V105" s="261"/>
      <c r="W105" s="261"/>
      <c r="X105" s="262"/>
      <c r="Y105" s="261"/>
    </row>
    <row r="106" spans="2:25" outlineLevel="1" x14ac:dyDescent="0.25">
      <c r="B106" s="180"/>
      <c r="C106" s="357"/>
      <c r="D106" s="358"/>
      <c r="E106" s="185">
        <f t="shared" si="4"/>
        <v>0</v>
      </c>
      <c r="F106" s="359"/>
      <c r="G106" s="349"/>
      <c r="H106" s="206"/>
      <c r="I106" s="206"/>
      <c r="J106" s="297">
        <f t="shared" si="5"/>
        <v>0</v>
      </c>
      <c r="K106" s="309"/>
      <c r="L106" s="191"/>
      <c r="M106" s="194" t="str">
        <f t="shared" si="6"/>
        <v/>
      </c>
      <c r="N106" s="193" t="str">
        <f t="shared" si="7"/>
        <v/>
      </c>
      <c r="O106" s="195" t="str">
        <f t="shared" si="8"/>
        <v/>
      </c>
      <c r="P106" s="252"/>
      <c r="Q106" s="466"/>
      <c r="R106" s="467"/>
      <c r="S106" s="467"/>
      <c r="T106" s="468"/>
      <c r="U106" s="261"/>
      <c r="V106" s="261"/>
      <c r="W106" s="261"/>
      <c r="X106" s="262"/>
      <c r="Y106" s="261"/>
    </row>
    <row r="107" spans="2:25" outlineLevel="1" x14ac:dyDescent="0.25">
      <c r="B107" s="180"/>
      <c r="C107" s="357"/>
      <c r="D107" s="358"/>
      <c r="E107" s="185">
        <f t="shared" si="4"/>
        <v>0</v>
      </c>
      <c r="F107" s="359"/>
      <c r="G107" s="349"/>
      <c r="H107" s="206"/>
      <c r="I107" s="206"/>
      <c r="J107" s="297">
        <f t="shared" si="5"/>
        <v>0</v>
      </c>
      <c r="K107" s="309"/>
      <c r="L107" s="191"/>
      <c r="M107" s="194" t="str">
        <f t="shared" si="6"/>
        <v/>
      </c>
      <c r="N107" s="193" t="str">
        <f t="shared" si="7"/>
        <v/>
      </c>
      <c r="O107" s="195" t="str">
        <f t="shared" si="8"/>
        <v/>
      </c>
      <c r="P107" s="252"/>
      <c r="Q107" s="466"/>
      <c r="R107" s="467"/>
      <c r="S107" s="467"/>
      <c r="T107" s="468"/>
      <c r="U107" s="261"/>
      <c r="V107" s="261"/>
      <c r="W107" s="261"/>
      <c r="X107" s="262"/>
      <c r="Y107" s="261"/>
    </row>
    <row r="108" spans="2:25" outlineLevel="1" x14ac:dyDescent="0.25">
      <c r="B108" s="180"/>
      <c r="C108" s="357"/>
      <c r="D108" s="358"/>
      <c r="E108" s="185">
        <f t="shared" si="4"/>
        <v>0</v>
      </c>
      <c r="F108" s="359"/>
      <c r="G108" s="349"/>
      <c r="H108" s="206"/>
      <c r="I108" s="206"/>
      <c r="J108" s="297">
        <f t="shared" si="5"/>
        <v>0</v>
      </c>
      <c r="K108" s="309"/>
      <c r="L108" s="191"/>
      <c r="M108" s="194" t="str">
        <f t="shared" si="6"/>
        <v/>
      </c>
      <c r="N108" s="193" t="str">
        <f t="shared" si="7"/>
        <v/>
      </c>
      <c r="O108" s="195" t="str">
        <f t="shared" si="8"/>
        <v/>
      </c>
      <c r="P108" s="252"/>
      <c r="Q108" s="466"/>
      <c r="R108" s="467"/>
      <c r="S108" s="467"/>
      <c r="T108" s="468"/>
      <c r="U108" s="261"/>
      <c r="V108" s="261"/>
      <c r="W108" s="261"/>
      <c r="X108" s="262"/>
      <c r="Y108" s="261"/>
    </row>
    <row r="109" spans="2:25" outlineLevel="1" x14ac:dyDescent="0.25">
      <c r="B109" s="180"/>
      <c r="C109" s="357"/>
      <c r="D109" s="358"/>
      <c r="E109" s="185">
        <f t="shared" si="4"/>
        <v>0</v>
      </c>
      <c r="F109" s="359"/>
      <c r="G109" s="349"/>
      <c r="H109" s="206"/>
      <c r="I109" s="206"/>
      <c r="J109" s="297">
        <f t="shared" si="5"/>
        <v>0</v>
      </c>
      <c r="K109" s="309"/>
      <c r="L109" s="191"/>
      <c r="M109" s="194" t="str">
        <f t="shared" si="6"/>
        <v/>
      </c>
      <c r="N109" s="193" t="str">
        <f t="shared" si="7"/>
        <v/>
      </c>
      <c r="O109" s="195" t="str">
        <f t="shared" si="8"/>
        <v/>
      </c>
      <c r="P109" s="252"/>
      <c r="Q109" s="466"/>
      <c r="R109" s="467"/>
      <c r="S109" s="467"/>
      <c r="T109" s="468"/>
      <c r="U109" s="261"/>
      <c r="V109" s="261"/>
      <c r="W109" s="261"/>
      <c r="X109" s="262"/>
      <c r="Y109" s="261"/>
    </row>
    <row r="110" spans="2:25" outlineLevel="1" x14ac:dyDescent="0.25">
      <c r="B110" s="180"/>
      <c r="C110" s="357"/>
      <c r="D110" s="358"/>
      <c r="E110" s="185">
        <f t="shared" si="4"/>
        <v>0</v>
      </c>
      <c r="F110" s="359"/>
      <c r="G110" s="349"/>
      <c r="H110" s="206"/>
      <c r="I110" s="206"/>
      <c r="J110" s="297">
        <f t="shared" si="5"/>
        <v>0</v>
      </c>
      <c r="K110" s="309"/>
      <c r="L110" s="191"/>
      <c r="M110" s="194" t="str">
        <f t="shared" si="6"/>
        <v/>
      </c>
      <c r="N110" s="193" t="str">
        <f t="shared" si="7"/>
        <v/>
      </c>
      <c r="O110" s="195" t="str">
        <f t="shared" si="8"/>
        <v/>
      </c>
      <c r="P110" s="252"/>
      <c r="Q110" s="466"/>
      <c r="R110" s="467"/>
      <c r="S110" s="467"/>
      <c r="T110" s="468"/>
      <c r="U110" s="261"/>
      <c r="V110" s="261"/>
      <c r="W110" s="261"/>
      <c r="X110" s="262"/>
      <c r="Y110" s="261"/>
    </row>
    <row r="111" spans="2:25" outlineLevel="1" x14ac:dyDescent="0.25">
      <c r="B111" s="180"/>
      <c r="C111" s="357"/>
      <c r="D111" s="358"/>
      <c r="E111" s="185">
        <f t="shared" si="4"/>
        <v>0</v>
      </c>
      <c r="F111" s="359"/>
      <c r="G111" s="349"/>
      <c r="H111" s="206"/>
      <c r="I111" s="206"/>
      <c r="J111" s="297">
        <f t="shared" si="5"/>
        <v>0</v>
      </c>
      <c r="K111" s="309"/>
      <c r="L111" s="191"/>
      <c r="M111" s="194" t="str">
        <f t="shared" si="6"/>
        <v/>
      </c>
      <c r="N111" s="193" t="str">
        <f t="shared" si="7"/>
        <v/>
      </c>
      <c r="O111" s="195" t="str">
        <f t="shared" si="8"/>
        <v/>
      </c>
      <c r="P111" s="252"/>
      <c r="Q111" s="466"/>
      <c r="R111" s="467"/>
      <c r="S111" s="467"/>
      <c r="T111" s="468"/>
      <c r="U111" s="261"/>
      <c r="V111" s="261"/>
      <c r="W111" s="261"/>
      <c r="X111" s="262"/>
      <c r="Y111" s="261"/>
    </row>
    <row r="112" spans="2:25" outlineLevel="1" x14ac:dyDescent="0.25">
      <c r="B112" s="180"/>
      <c r="C112" s="357"/>
      <c r="D112" s="358"/>
      <c r="E112" s="185">
        <f t="shared" si="4"/>
        <v>0</v>
      </c>
      <c r="F112" s="359"/>
      <c r="G112" s="349"/>
      <c r="H112" s="206"/>
      <c r="I112" s="206"/>
      <c r="J112" s="297">
        <f t="shared" si="5"/>
        <v>0</v>
      </c>
      <c r="K112" s="309"/>
      <c r="L112" s="191"/>
      <c r="M112" s="194" t="str">
        <f t="shared" si="6"/>
        <v/>
      </c>
      <c r="N112" s="193" t="str">
        <f t="shared" si="7"/>
        <v/>
      </c>
      <c r="O112" s="195" t="str">
        <f t="shared" si="8"/>
        <v/>
      </c>
      <c r="P112" s="252"/>
      <c r="Q112" s="466"/>
      <c r="R112" s="467"/>
      <c r="S112" s="467"/>
      <c r="T112" s="468"/>
      <c r="U112" s="261"/>
      <c r="V112" s="261"/>
      <c r="W112" s="261"/>
      <c r="X112" s="262"/>
      <c r="Y112" s="261"/>
    </row>
    <row r="113" spans="2:25" outlineLevel="1" x14ac:dyDescent="0.25">
      <c r="B113" s="180"/>
      <c r="C113" s="357"/>
      <c r="D113" s="358"/>
      <c r="E113" s="185">
        <f t="shared" si="4"/>
        <v>0</v>
      </c>
      <c r="F113" s="359"/>
      <c r="G113" s="349"/>
      <c r="H113" s="206"/>
      <c r="I113" s="206"/>
      <c r="J113" s="297">
        <f t="shared" si="5"/>
        <v>0</v>
      </c>
      <c r="K113" s="309"/>
      <c r="L113" s="191"/>
      <c r="M113" s="194" t="str">
        <f t="shared" si="6"/>
        <v/>
      </c>
      <c r="N113" s="193" t="str">
        <f t="shared" si="7"/>
        <v/>
      </c>
      <c r="O113" s="195" t="str">
        <f t="shared" si="8"/>
        <v/>
      </c>
      <c r="P113" s="252"/>
      <c r="Q113" s="466"/>
      <c r="R113" s="467"/>
      <c r="S113" s="467"/>
      <c r="T113" s="468"/>
      <c r="U113" s="261"/>
      <c r="V113" s="261"/>
      <c r="W113" s="261"/>
      <c r="X113" s="262"/>
      <c r="Y113" s="261"/>
    </row>
    <row r="114" spans="2:25" outlineLevel="1" x14ac:dyDescent="0.25">
      <c r="B114" s="180"/>
      <c r="C114" s="357"/>
      <c r="D114" s="358"/>
      <c r="E114" s="185">
        <f t="shared" si="4"/>
        <v>0</v>
      </c>
      <c r="F114" s="359"/>
      <c r="G114" s="349"/>
      <c r="H114" s="206"/>
      <c r="I114" s="206"/>
      <c r="J114" s="297">
        <f t="shared" si="5"/>
        <v>0</v>
      </c>
      <c r="K114" s="309"/>
      <c r="L114" s="191"/>
      <c r="M114" s="194" t="str">
        <f t="shared" si="6"/>
        <v/>
      </c>
      <c r="N114" s="193" t="str">
        <f t="shared" si="7"/>
        <v/>
      </c>
      <c r="O114" s="195" t="str">
        <f t="shared" si="8"/>
        <v/>
      </c>
      <c r="P114" s="252"/>
      <c r="Q114" s="466"/>
      <c r="R114" s="467"/>
      <c r="S114" s="467"/>
      <c r="T114" s="468"/>
      <c r="U114" s="261"/>
      <c r="V114" s="261"/>
      <c r="W114" s="261"/>
      <c r="X114" s="262"/>
      <c r="Y114" s="261"/>
    </row>
    <row r="115" spans="2:25" outlineLevel="1" x14ac:dyDescent="0.25">
      <c r="B115" s="180"/>
      <c r="C115" s="357"/>
      <c r="D115" s="358"/>
      <c r="E115" s="185">
        <f t="shared" si="4"/>
        <v>0</v>
      </c>
      <c r="F115" s="359"/>
      <c r="G115" s="349"/>
      <c r="H115" s="206"/>
      <c r="I115" s="206"/>
      <c r="J115" s="297">
        <f t="shared" si="5"/>
        <v>0</v>
      </c>
      <c r="K115" s="309"/>
      <c r="L115" s="191"/>
      <c r="M115" s="194" t="str">
        <f t="shared" si="6"/>
        <v/>
      </c>
      <c r="N115" s="193" t="str">
        <f t="shared" si="7"/>
        <v/>
      </c>
      <c r="O115" s="195" t="str">
        <f t="shared" si="8"/>
        <v/>
      </c>
      <c r="P115" s="252"/>
      <c r="Q115" s="466"/>
      <c r="R115" s="467"/>
      <c r="S115" s="467"/>
      <c r="T115" s="468"/>
      <c r="U115" s="261"/>
      <c r="V115" s="261"/>
      <c r="W115" s="261"/>
      <c r="X115" s="262"/>
      <c r="Y115" s="261"/>
    </row>
    <row r="116" spans="2:25" outlineLevel="1" x14ac:dyDescent="0.25">
      <c r="B116" s="180"/>
      <c r="C116" s="357"/>
      <c r="D116" s="358"/>
      <c r="E116" s="185">
        <f t="shared" si="4"/>
        <v>0</v>
      </c>
      <c r="F116" s="359"/>
      <c r="G116" s="349"/>
      <c r="H116" s="206"/>
      <c r="I116" s="206"/>
      <c r="J116" s="297">
        <f t="shared" si="5"/>
        <v>0</v>
      </c>
      <c r="K116" s="309"/>
      <c r="L116" s="191"/>
      <c r="M116" s="194" t="str">
        <f t="shared" si="6"/>
        <v/>
      </c>
      <c r="N116" s="193" t="str">
        <f t="shared" si="7"/>
        <v/>
      </c>
      <c r="O116" s="195" t="str">
        <f t="shared" si="8"/>
        <v/>
      </c>
      <c r="P116" s="252"/>
      <c r="Q116" s="466"/>
      <c r="R116" s="467"/>
      <c r="S116" s="467"/>
      <c r="T116" s="468"/>
      <c r="U116" s="261"/>
      <c r="V116" s="261"/>
      <c r="W116" s="261"/>
      <c r="X116" s="262"/>
      <c r="Y116" s="261"/>
    </row>
    <row r="117" spans="2:25" outlineLevel="1" x14ac:dyDescent="0.25">
      <c r="B117" s="180"/>
      <c r="C117" s="357"/>
      <c r="D117" s="358"/>
      <c r="E117" s="185">
        <f t="shared" ref="E117:E180" si="9">C117+D117</f>
        <v>0</v>
      </c>
      <c r="F117" s="359"/>
      <c r="G117" s="349"/>
      <c r="H117" s="206"/>
      <c r="I117" s="206"/>
      <c r="J117" s="297">
        <f t="shared" ref="J117:J180" si="10">H117+I117</f>
        <v>0</v>
      </c>
      <c r="K117" s="309"/>
      <c r="L117" s="191"/>
      <c r="M117" s="194" t="str">
        <f t="shared" ref="M117:M180" si="11">IF(AND(G117&gt;0,OR(C117&gt;0,F117&gt;0,H117&gt;0)),(G117-F117)/G117,"")</f>
        <v/>
      </c>
      <c r="N117" s="193" t="str">
        <f t="shared" ref="N117:N180" si="12">IF(G117&gt;0,(IF(C117&gt;0,C117,H117))/G117,"")</f>
        <v/>
      </c>
      <c r="O117" s="195" t="str">
        <f t="shared" ref="O117:O180" si="13">IF(M117=100%,G117-(IF(C117&gt;0,C117,H117)),"")</f>
        <v/>
      </c>
      <c r="P117" s="252"/>
      <c r="Q117" s="466"/>
      <c r="R117" s="467"/>
      <c r="S117" s="467"/>
      <c r="T117" s="468"/>
      <c r="U117" s="261"/>
      <c r="V117" s="261"/>
      <c r="W117" s="261"/>
      <c r="X117" s="262"/>
      <c r="Y117" s="261"/>
    </row>
    <row r="118" spans="2:25" outlineLevel="1" x14ac:dyDescent="0.25">
      <c r="B118" s="180"/>
      <c r="C118" s="357"/>
      <c r="D118" s="358"/>
      <c r="E118" s="185">
        <f t="shared" si="9"/>
        <v>0</v>
      </c>
      <c r="F118" s="359"/>
      <c r="G118" s="349"/>
      <c r="H118" s="206"/>
      <c r="I118" s="206"/>
      <c r="J118" s="297">
        <f t="shared" si="10"/>
        <v>0</v>
      </c>
      <c r="K118" s="309"/>
      <c r="L118" s="191"/>
      <c r="M118" s="194" t="str">
        <f t="shared" si="11"/>
        <v/>
      </c>
      <c r="N118" s="193" t="str">
        <f t="shared" si="12"/>
        <v/>
      </c>
      <c r="O118" s="195" t="str">
        <f t="shared" si="13"/>
        <v/>
      </c>
      <c r="P118" s="252"/>
      <c r="Q118" s="466"/>
      <c r="R118" s="467"/>
      <c r="S118" s="467"/>
      <c r="T118" s="468"/>
      <c r="U118" s="261"/>
      <c r="V118" s="261"/>
      <c r="W118" s="261"/>
      <c r="X118" s="262"/>
      <c r="Y118" s="261"/>
    </row>
    <row r="119" spans="2:25" outlineLevel="1" x14ac:dyDescent="0.25">
      <c r="B119" s="180"/>
      <c r="C119" s="357"/>
      <c r="D119" s="358"/>
      <c r="E119" s="185">
        <f t="shared" si="9"/>
        <v>0</v>
      </c>
      <c r="F119" s="359"/>
      <c r="G119" s="349"/>
      <c r="H119" s="206"/>
      <c r="I119" s="206"/>
      <c r="J119" s="297">
        <f t="shared" si="10"/>
        <v>0</v>
      </c>
      <c r="K119" s="309"/>
      <c r="L119" s="191"/>
      <c r="M119" s="194" t="str">
        <f t="shared" si="11"/>
        <v/>
      </c>
      <c r="N119" s="193" t="str">
        <f t="shared" si="12"/>
        <v/>
      </c>
      <c r="O119" s="195" t="str">
        <f t="shared" si="13"/>
        <v/>
      </c>
      <c r="P119" s="252"/>
      <c r="Q119" s="466"/>
      <c r="R119" s="467"/>
      <c r="S119" s="467"/>
      <c r="T119" s="468"/>
      <c r="U119" s="261"/>
      <c r="V119" s="261"/>
      <c r="W119" s="261"/>
      <c r="X119" s="262"/>
      <c r="Y119" s="261"/>
    </row>
    <row r="120" spans="2:25" outlineLevel="1" x14ac:dyDescent="0.25">
      <c r="B120" s="180"/>
      <c r="C120" s="357"/>
      <c r="D120" s="358"/>
      <c r="E120" s="185">
        <f t="shared" si="9"/>
        <v>0</v>
      </c>
      <c r="F120" s="359"/>
      <c r="G120" s="349"/>
      <c r="H120" s="206"/>
      <c r="I120" s="206"/>
      <c r="J120" s="297">
        <f t="shared" si="10"/>
        <v>0</v>
      </c>
      <c r="K120" s="309"/>
      <c r="L120" s="191"/>
      <c r="M120" s="194" t="str">
        <f t="shared" si="11"/>
        <v/>
      </c>
      <c r="N120" s="193" t="str">
        <f t="shared" si="12"/>
        <v/>
      </c>
      <c r="O120" s="195" t="str">
        <f t="shared" si="13"/>
        <v/>
      </c>
      <c r="P120" s="252"/>
      <c r="Q120" s="466"/>
      <c r="R120" s="467"/>
      <c r="S120" s="467"/>
      <c r="T120" s="468"/>
      <c r="U120" s="261"/>
      <c r="V120" s="261"/>
      <c r="W120" s="261"/>
      <c r="X120" s="262"/>
      <c r="Y120" s="261"/>
    </row>
    <row r="121" spans="2:25" outlineLevel="1" x14ac:dyDescent="0.25">
      <c r="B121" s="180"/>
      <c r="C121" s="357"/>
      <c r="D121" s="358"/>
      <c r="E121" s="185">
        <f t="shared" si="9"/>
        <v>0</v>
      </c>
      <c r="F121" s="359"/>
      <c r="G121" s="349"/>
      <c r="H121" s="206"/>
      <c r="I121" s="206"/>
      <c r="J121" s="297">
        <f t="shared" si="10"/>
        <v>0</v>
      </c>
      <c r="K121" s="309"/>
      <c r="L121" s="191"/>
      <c r="M121" s="194" t="str">
        <f t="shared" si="11"/>
        <v/>
      </c>
      <c r="N121" s="193" t="str">
        <f t="shared" si="12"/>
        <v/>
      </c>
      <c r="O121" s="195" t="str">
        <f t="shared" si="13"/>
        <v/>
      </c>
      <c r="P121" s="252"/>
      <c r="Q121" s="466"/>
      <c r="R121" s="467"/>
      <c r="S121" s="467"/>
      <c r="T121" s="468"/>
      <c r="U121" s="261"/>
      <c r="V121" s="261"/>
      <c r="W121" s="261"/>
      <c r="X121" s="262"/>
      <c r="Y121" s="261"/>
    </row>
    <row r="122" spans="2:25" outlineLevel="1" x14ac:dyDescent="0.25">
      <c r="B122" s="180"/>
      <c r="C122" s="357"/>
      <c r="D122" s="358"/>
      <c r="E122" s="185">
        <f t="shared" si="9"/>
        <v>0</v>
      </c>
      <c r="F122" s="359"/>
      <c r="G122" s="349"/>
      <c r="H122" s="206"/>
      <c r="I122" s="206"/>
      <c r="J122" s="297">
        <f t="shared" si="10"/>
        <v>0</v>
      </c>
      <c r="K122" s="309"/>
      <c r="L122" s="191"/>
      <c r="M122" s="194" t="str">
        <f t="shared" si="11"/>
        <v/>
      </c>
      <c r="N122" s="193" t="str">
        <f t="shared" si="12"/>
        <v/>
      </c>
      <c r="O122" s="195" t="str">
        <f t="shared" si="13"/>
        <v/>
      </c>
      <c r="P122" s="252"/>
      <c r="Q122" s="466"/>
      <c r="R122" s="467"/>
      <c r="S122" s="467"/>
      <c r="T122" s="468"/>
      <c r="U122" s="261"/>
      <c r="V122" s="261"/>
      <c r="W122" s="261"/>
      <c r="X122" s="262"/>
      <c r="Y122" s="261"/>
    </row>
    <row r="123" spans="2:25" outlineLevel="1" x14ac:dyDescent="0.25">
      <c r="B123" s="180"/>
      <c r="C123" s="357"/>
      <c r="D123" s="358"/>
      <c r="E123" s="185">
        <f t="shared" si="9"/>
        <v>0</v>
      </c>
      <c r="F123" s="359"/>
      <c r="G123" s="349"/>
      <c r="H123" s="206"/>
      <c r="I123" s="206"/>
      <c r="J123" s="297">
        <f t="shared" si="10"/>
        <v>0</v>
      </c>
      <c r="K123" s="309"/>
      <c r="L123" s="191"/>
      <c r="M123" s="194" t="str">
        <f t="shared" si="11"/>
        <v/>
      </c>
      <c r="N123" s="193" t="str">
        <f t="shared" si="12"/>
        <v/>
      </c>
      <c r="O123" s="195" t="str">
        <f t="shared" si="13"/>
        <v/>
      </c>
      <c r="P123" s="252"/>
      <c r="Q123" s="466"/>
      <c r="R123" s="467"/>
      <c r="S123" s="467"/>
      <c r="T123" s="468"/>
      <c r="U123" s="261"/>
      <c r="V123" s="261"/>
      <c r="W123" s="261"/>
      <c r="X123" s="262"/>
      <c r="Y123" s="261"/>
    </row>
    <row r="124" spans="2:25" outlineLevel="1" x14ac:dyDescent="0.25">
      <c r="B124" s="180"/>
      <c r="C124" s="357"/>
      <c r="D124" s="358"/>
      <c r="E124" s="185">
        <f t="shared" si="9"/>
        <v>0</v>
      </c>
      <c r="F124" s="359"/>
      <c r="G124" s="349"/>
      <c r="H124" s="206"/>
      <c r="I124" s="206"/>
      <c r="J124" s="297">
        <f t="shared" si="10"/>
        <v>0</v>
      </c>
      <c r="K124" s="309"/>
      <c r="L124" s="191"/>
      <c r="M124" s="194" t="str">
        <f t="shared" si="11"/>
        <v/>
      </c>
      <c r="N124" s="193" t="str">
        <f t="shared" si="12"/>
        <v/>
      </c>
      <c r="O124" s="195" t="str">
        <f t="shared" si="13"/>
        <v/>
      </c>
      <c r="P124" s="252"/>
      <c r="Q124" s="466"/>
      <c r="R124" s="467"/>
      <c r="S124" s="467"/>
      <c r="T124" s="468"/>
      <c r="U124" s="261"/>
      <c r="V124" s="261"/>
      <c r="W124" s="261"/>
      <c r="X124" s="262"/>
      <c r="Y124" s="261"/>
    </row>
    <row r="125" spans="2:25" outlineLevel="1" x14ac:dyDescent="0.25">
      <c r="B125" s="180"/>
      <c r="C125" s="357"/>
      <c r="D125" s="358"/>
      <c r="E125" s="185">
        <f t="shared" si="9"/>
        <v>0</v>
      </c>
      <c r="F125" s="359"/>
      <c r="G125" s="349"/>
      <c r="H125" s="206"/>
      <c r="I125" s="206"/>
      <c r="J125" s="297">
        <f t="shared" si="10"/>
        <v>0</v>
      </c>
      <c r="K125" s="309"/>
      <c r="L125" s="191"/>
      <c r="M125" s="194" t="str">
        <f t="shared" si="11"/>
        <v/>
      </c>
      <c r="N125" s="193" t="str">
        <f t="shared" si="12"/>
        <v/>
      </c>
      <c r="O125" s="195" t="str">
        <f t="shared" si="13"/>
        <v/>
      </c>
      <c r="P125" s="252"/>
      <c r="Q125" s="466"/>
      <c r="R125" s="467"/>
      <c r="S125" s="467"/>
      <c r="T125" s="468"/>
      <c r="U125" s="261"/>
      <c r="V125" s="261"/>
      <c r="W125" s="261"/>
      <c r="X125" s="262"/>
      <c r="Y125" s="261"/>
    </row>
    <row r="126" spans="2:25" outlineLevel="1" x14ac:dyDescent="0.25">
      <c r="B126" s="180"/>
      <c r="C126" s="357"/>
      <c r="D126" s="358"/>
      <c r="E126" s="185">
        <f t="shared" si="9"/>
        <v>0</v>
      </c>
      <c r="F126" s="359"/>
      <c r="G126" s="349"/>
      <c r="H126" s="206"/>
      <c r="I126" s="206"/>
      <c r="J126" s="297">
        <f t="shared" si="10"/>
        <v>0</v>
      </c>
      <c r="K126" s="309"/>
      <c r="L126" s="191"/>
      <c r="M126" s="194" t="str">
        <f t="shared" si="11"/>
        <v/>
      </c>
      <c r="N126" s="193" t="str">
        <f t="shared" si="12"/>
        <v/>
      </c>
      <c r="O126" s="195" t="str">
        <f t="shared" si="13"/>
        <v/>
      </c>
      <c r="P126" s="252"/>
      <c r="Q126" s="466"/>
      <c r="R126" s="467"/>
      <c r="S126" s="467"/>
      <c r="T126" s="468"/>
      <c r="U126" s="261"/>
      <c r="V126" s="261"/>
      <c r="W126" s="261"/>
      <c r="X126" s="262"/>
      <c r="Y126" s="261"/>
    </row>
    <row r="127" spans="2:25" outlineLevel="1" x14ac:dyDescent="0.25">
      <c r="B127" s="180"/>
      <c r="C127" s="357"/>
      <c r="D127" s="358"/>
      <c r="E127" s="185">
        <f t="shared" si="9"/>
        <v>0</v>
      </c>
      <c r="F127" s="359"/>
      <c r="G127" s="349"/>
      <c r="H127" s="206"/>
      <c r="I127" s="206"/>
      <c r="J127" s="297">
        <f t="shared" si="10"/>
        <v>0</v>
      </c>
      <c r="K127" s="309"/>
      <c r="L127" s="191"/>
      <c r="M127" s="194" t="str">
        <f t="shared" si="11"/>
        <v/>
      </c>
      <c r="N127" s="193" t="str">
        <f t="shared" si="12"/>
        <v/>
      </c>
      <c r="O127" s="195" t="str">
        <f t="shared" si="13"/>
        <v/>
      </c>
      <c r="P127" s="252"/>
      <c r="Q127" s="466"/>
      <c r="R127" s="467"/>
      <c r="S127" s="467"/>
      <c r="T127" s="468"/>
      <c r="U127" s="261"/>
      <c r="V127" s="261"/>
      <c r="W127" s="261"/>
      <c r="X127" s="262"/>
      <c r="Y127" s="261"/>
    </row>
    <row r="128" spans="2:25" outlineLevel="1" x14ac:dyDescent="0.25">
      <c r="B128" s="180"/>
      <c r="C128" s="357"/>
      <c r="D128" s="358"/>
      <c r="E128" s="185">
        <f t="shared" si="9"/>
        <v>0</v>
      </c>
      <c r="F128" s="359"/>
      <c r="G128" s="349"/>
      <c r="H128" s="206"/>
      <c r="I128" s="206"/>
      <c r="J128" s="297">
        <f t="shared" si="10"/>
        <v>0</v>
      </c>
      <c r="K128" s="309"/>
      <c r="L128" s="191"/>
      <c r="M128" s="194" t="str">
        <f t="shared" si="11"/>
        <v/>
      </c>
      <c r="N128" s="193" t="str">
        <f t="shared" si="12"/>
        <v/>
      </c>
      <c r="O128" s="195" t="str">
        <f t="shared" si="13"/>
        <v/>
      </c>
      <c r="P128" s="252"/>
      <c r="Q128" s="466"/>
      <c r="R128" s="467"/>
      <c r="S128" s="467"/>
      <c r="T128" s="468"/>
      <c r="U128" s="261"/>
      <c r="V128" s="261"/>
      <c r="W128" s="261"/>
      <c r="X128" s="262"/>
      <c r="Y128" s="261"/>
    </row>
    <row r="129" spans="2:25" outlineLevel="1" x14ac:dyDescent="0.25">
      <c r="B129" s="180"/>
      <c r="C129" s="357"/>
      <c r="D129" s="358"/>
      <c r="E129" s="185">
        <f t="shared" si="9"/>
        <v>0</v>
      </c>
      <c r="F129" s="359"/>
      <c r="G129" s="349"/>
      <c r="H129" s="206"/>
      <c r="I129" s="206"/>
      <c r="J129" s="297">
        <f t="shared" si="10"/>
        <v>0</v>
      </c>
      <c r="K129" s="309"/>
      <c r="L129" s="191"/>
      <c r="M129" s="194" t="str">
        <f t="shared" si="11"/>
        <v/>
      </c>
      <c r="N129" s="193" t="str">
        <f t="shared" si="12"/>
        <v/>
      </c>
      <c r="O129" s="195" t="str">
        <f t="shared" si="13"/>
        <v/>
      </c>
      <c r="P129" s="252"/>
      <c r="Q129" s="466"/>
      <c r="R129" s="467"/>
      <c r="S129" s="467"/>
      <c r="T129" s="468"/>
      <c r="U129" s="261"/>
      <c r="V129" s="261"/>
      <c r="W129" s="261"/>
      <c r="X129" s="262"/>
      <c r="Y129" s="261"/>
    </row>
    <row r="130" spans="2:25" outlineLevel="1" x14ac:dyDescent="0.25">
      <c r="B130" s="180"/>
      <c r="C130" s="357"/>
      <c r="D130" s="358"/>
      <c r="E130" s="185">
        <f t="shared" si="9"/>
        <v>0</v>
      </c>
      <c r="F130" s="359"/>
      <c r="G130" s="349"/>
      <c r="H130" s="206"/>
      <c r="I130" s="206"/>
      <c r="J130" s="297">
        <f t="shared" si="10"/>
        <v>0</v>
      </c>
      <c r="K130" s="309"/>
      <c r="L130" s="191"/>
      <c r="M130" s="194" t="str">
        <f t="shared" si="11"/>
        <v/>
      </c>
      <c r="N130" s="193" t="str">
        <f t="shared" si="12"/>
        <v/>
      </c>
      <c r="O130" s="195" t="str">
        <f t="shared" si="13"/>
        <v/>
      </c>
      <c r="P130" s="252"/>
      <c r="Q130" s="466"/>
      <c r="R130" s="467"/>
      <c r="S130" s="467"/>
      <c r="T130" s="468"/>
      <c r="U130" s="261"/>
      <c r="V130" s="261"/>
      <c r="W130" s="261"/>
      <c r="X130" s="262"/>
      <c r="Y130" s="261"/>
    </row>
    <row r="131" spans="2:25" outlineLevel="1" x14ac:dyDescent="0.25">
      <c r="B131" s="180"/>
      <c r="C131" s="357"/>
      <c r="D131" s="358"/>
      <c r="E131" s="185">
        <f t="shared" si="9"/>
        <v>0</v>
      </c>
      <c r="F131" s="359"/>
      <c r="G131" s="349"/>
      <c r="H131" s="206"/>
      <c r="I131" s="206"/>
      <c r="J131" s="297">
        <f t="shared" si="10"/>
        <v>0</v>
      </c>
      <c r="K131" s="309"/>
      <c r="L131" s="191"/>
      <c r="M131" s="194" t="str">
        <f t="shared" si="11"/>
        <v/>
      </c>
      <c r="N131" s="193" t="str">
        <f t="shared" si="12"/>
        <v/>
      </c>
      <c r="O131" s="195" t="str">
        <f t="shared" si="13"/>
        <v/>
      </c>
      <c r="P131" s="252"/>
      <c r="Q131" s="466"/>
      <c r="R131" s="467"/>
      <c r="S131" s="467"/>
      <c r="T131" s="468"/>
      <c r="U131" s="261"/>
      <c r="V131" s="261"/>
      <c r="W131" s="261"/>
      <c r="X131" s="262"/>
      <c r="Y131" s="261"/>
    </row>
    <row r="132" spans="2:25" outlineLevel="1" x14ac:dyDescent="0.25">
      <c r="B132" s="180"/>
      <c r="C132" s="357"/>
      <c r="D132" s="358"/>
      <c r="E132" s="185">
        <f t="shared" si="9"/>
        <v>0</v>
      </c>
      <c r="F132" s="359"/>
      <c r="G132" s="349"/>
      <c r="H132" s="206"/>
      <c r="I132" s="206"/>
      <c r="J132" s="297">
        <f t="shared" si="10"/>
        <v>0</v>
      </c>
      <c r="K132" s="309"/>
      <c r="L132" s="191"/>
      <c r="M132" s="194" t="str">
        <f t="shared" si="11"/>
        <v/>
      </c>
      <c r="N132" s="193" t="str">
        <f t="shared" si="12"/>
        <v/>
      </c>
      <c r="O132" s="195" t="str">
        <f t="shared" si="13"/>
        <v/>
      </c>
      <c r="P132" s="252"/>
      <c r="Q132" s="466"/>
      <c r="R132" s="467"/>
      <c r="S132" s="467"/>
      <c r="T132" s="468"/>
      <c r="U132" s="261"/>
      <c r="V132" s="261"/>
      <c r="W132" s="261"/>
      <c r="X132" s="262"/>
      <c r="Y132" s="261"/>
    </row>
    <row r="133" spans="2:25" outlineLevel="1" x14ac:dyDescent="0.25">
      <c r="B133" s="180"/>
      <c r="C133" s="357"/>
      <c r="D133" s="358"/>
      <c r="E133" s="185">
        <f t="shared" si="9"/>
        <v>0</v>
      </c>
      <c r="F133" s="359"/>
      <c r="G133" s="349"/>
      <c r="H133" s="206"/>
      <c r="I133" s="206"/>
      <c r="J133" s="297">
        <f t="shared" si="10"/>
        <v>0</v>
      </c>
      <c r="K133" s="309"/>
      <c r="L133" s="191"/>
      <c r="M133" s="194" t="str">
        <f t="shared" si="11"/>
        <v/>
      </c>
      <c r="N133" s="193" t="str">
        <f t="shared" si="12"/>
        <v/>
      </c>
      <c r="O133" s="195" t="str">
        <f t="shared" si="13"/>
        <v/>
      </c>
      <c r="P133" s="252"/>
      <c r="Q133" s="466"/>
      <c r="R133" s="467"/>
      <c r="S133" s="467"/>
      <c r="T133" s="468"/>
      <c r="U133" s="261"/>
      <c r="V133" s="261"/>
      <c r="W133" s="261"/>
      <c r="X133" s="262"/>
      <c r="Y133" s="261"/>
    </row>
    <row r="134" spans="2:25" outlineLevel="1" x14ac:dyDescent="0.25">
      <c r="B134" s="180"/>
      <c r="C134" s="357"/>
      <c r="D134" s="358"/>
      <c r="E134" s="185">
        <f t="shared" si="9"/>
        <v>0</v>
      </c>
      <c r="F134" s="359"/>
      <c r="G134" s="349"/>
      <c r="H134" s="206"/>
      <c r="I134" s="206"/>
      <c r="J134" s="297">
        <f t="shared" si="10"/>
        <v>0</v>
      </c>
      <c r="K134" s="309"/>
      <c r="L134" s="191"/>
      <c r="M134" s="194" t="str">
        <f t="shared" si="11"/>
        <v/>
      </c>
      <c r="N134" s="193" t="str">
        <f t="shared" si="12"/>
        <v/>
      </c>
      <c r="O134" s="195" t="str">
        <f t="shared" si="13"/>
        <v/>
      </c>
      <c r="P134" s="252"/>
      <c r="Q134" s="466"/>
      <c r="R134" s="467"/>
      <c r="S134" s="467"/>
      <c r="T134" s="468"/>
      <c r="U134" s="261"/>
      <c r="V134" s="261"/>
      <c r="W134" s="261"/>
      <c r="X134" s="262"/>
      <c r="Y134" s="261"/>
    </row>
    <row r="135" spans="2:25" outlineLevel="1" x14ac:dyDescent="0.25">
      <c r="B135" s="180"/>
      <c r="C135" s="357"/>
      <c r="D135" s="358"/>
      <c r="E135" s="185">
        <f t="shared" si="9"/>
        <v>0</v>
      </c>
      <c r="F135" s="359"/>
      <c r="G135" s="349"/>
      <c r="H135" s="206"/>
      <c r="I135" s="206"/>
      <c r="J135" s="297">
        <f t="shared" si="10"/>
        <v>0</v>
      </c>
      <c r="K135" s="309"/>
      <c r="L135" s="191"/>
      <c r="M135" s="194" t="str">
        <f t="shared" si="11"/>
        <v/>
      </c>
      <c r="N135" s="193" t="str">
        <f t="shared" si="12"/>
        <v/>
      </c>
      <c r="O135" s="195" t="str">
        <f t="shared" si="13"/>
        <v/>
      </c>
      <c r="P135" s="252"/>
      <c r="Q135" s="466"/>
      <c r="R135" s="467"/>
      <c r="S135" s="467"/>
      <c r="T135" s="468"/>
      <c r="U135" s="261"/>
      <c r="V135" s="261"/>
      <c r="W135" s="261"/>
      <c r="X135" s="262"/>
      <c r="Y135" s="261"/>
    </row>
    <row r="136" spans="2:25" outlineLevel="1" x14ac:dyDescent="0.25">
      <c r="B136" s="180"/>
      <c r="C136" s="357"/>
      <c r="D136" s="358"/>
      <c r="E136" s="185">
        <f t="shared" si="9"/>
        <v>0</v>
      </c>
      <c r="F136" s="359"/>
      <c r="G136" s="349"/>
      <c r="H136" s="206"/>
      <c r="I136" s="206"/>
      <c r="J136" s="297">
        <f t="shared" si="10"/>
        <v>0</v>
      </c>
      <c r="K136" s="309"/>
      <c r="L136" s="191"/>
      <c r="M136" s="194" t="str">
        <f t="shared" si="11"/>
        <v/>
      </c>
      <c r="N136" s="193" t="str">
        <f t="shared" si="12"/>
        <v/>
      </c>
      <c r="O136" s="195" t="str">
        <f t="shared" si="13"/>
        <v/>
      </c>
      <c r="P136" s="252"/>
      <c r="Q136" s="466"/>
      <c r="R136" s="467"/>
      <c r="S136" s="467"/>
      <c r="T136" s="468"/>
      <c r="U136" s="261"/>
      <c r="V136" s="261"/>
      <c r="W136" s="261"/>
      <c r="X136" s="262"/>
      <c r="Y136" s="261"/>
    </row>
    <row r="137" spans="2:25" outlineLevel="1" x14ac:dyDescent="0.25">
      <c r="B137" s="180"/>
      <c r="C137" s="357"/>
      <c r="D137" s="358"/>
      <c r="E137" s="185">
        <f t="shared" si="9"/>
        <v>0</v>
      </c>
      <c r="F137" s="359"/>
      <c r="G137" s="349"/>
      <c r="H137" s="206"/>
      <c r="I137" s="206"/>
      <c r="J137" s="297">
        <f t="shared" si="10"/>
        <v>0</v>
      </c>
      <c r="K137" s="309"/>
      <c r="L137" s="191"/>
      <c r="M137" s="194" t="str">
        <f t="shared" si="11"/>
        <v/>
      </c>
      <c r="N137" s="193" t="str">
        <f t="shared" si="12"/>
        <v/>
      </c>
      <c r="O137" s="195" t="str">
        <f t="shared" si="13"/>
        <v/>
      </c>
      <c r="P137" s="252"/>
      <c r="Q137" s="466"/>
      <c r="R137" s="467"/>
      <c r="S137" s="467"/>
      <c r="T137" s="468"/>
      <c r="U137" s="261"/>
      <c r="V137" s="261"/>
      <c r="W137" s="261"/>
      <c r="X137" s="262"/>
      <c r="Y137" s="261"/>
    </row>
    <row r="138" spans="2:25" outlineLevel="1" x14ac:dyDescent="0.25">
      <c r="B138" s="180"/>
      <c r="C138" s="357"/>
      <c r="D138" s="358"/>
      <c r="E138" s="185">
        <f t="shared" si="9"/>
        <v>0</v>
      </c>
      <c r="F138" s="359"/>
      <c r="G138" s="349"/>
      <c r="H138" s="206"/>
      <c r="I138" s="206"/>
      <c r="J138" s="297">
        <f t="shared" si="10"/>
        <v>0</v>
      </c>
      <c r="K138" s="309"/>
      <c r="L138" s="191"/>
      <c r="M138" s="194" t="str">
        <f t="shared" si="11"/>
        <v/>
      </c>
      <c r="N138" s="193" t="str">
        <f t="shared" si="12"/>
        <v/>
      </c>
      <c r="O138" s="195" t="str">
        <f t="shared" si="13"/>
        <v/>
      </c>
      <c r="P138" s="252"/>
      <c r="Q138" s="466"/>
      <c r="R138" s="467"/>
      <c r="S138" s="467"/>
      <c r="T138" s="468"/>
      <c r="U138" s="261"/>
      <c r="V138" s="261"/>
      <c r="W138" s="261"/>
      <c r="X138" s="262"/>
      <c r="Y138" s="261"/>
    </row>
    <row r="139" spans="2:25" outlineLevel="1" x14ac:dyDescent="0.25">
      <c r="B139" s="180"/>
      <c r="C139" s="357"/>
      <c r="D139" s="358"/>
      <c r="E139" s="185">
        <f t="shared" si="9"/>
        <v>0</v>
      </c>
      <c r="F139" s="359"/>
      <c r="G139" s="349"/>
      <c r="H139" s="206"/>
      <c r="I139" s="206"/>
      <c r="J139" s="297">
        <f t="shared" si="10"/>
        <v>0</v>
      </c>
      <c r="K139" s="309"/>
      <c r="L139" s="191"/>
      <c r="M139" s="194" t="str">
        <f t="shared" si="11"/>
        <v/>
      </c>
      <c r="N139" s="193" t="str">
        <f t="shared" si="12"/>
        <v/>
      </c>
      <c r="O139" s="195" t="str">
        <f t="shared" si="13"/>
        <v/>
      </c>
      <c r="P139" s="252"/>
      <c r="Q139" s="466"/>
      <c r="R139" s="467"/>
      <c r="S139" s="467"/>
      <c r="T139" s="468"/>
      <c r="U139" s="261"/>
      <c r="V139" s="261"/>
      <c r="W139" s="261"/>
      <c r="X139" s="262"/>
      <c r="Y139" s="261"/>
    </row>
    <row r="140" spans="2:25" outlineLevel="1" x14ac:dyDescent="0.25">
      <c r="B140" s="180"/>
      <c r="C140" s="357"/>
      <c r="D140" s="358"/>
      <c r="E140" s="185">
        <f t="shared" si="9"/>
        <v>0</v>
      </c>
      <c r="F140" s="359"/>
      <c r="G140" s="349"/>
      <c r="H140" s="206"/>
      <c r="I140" s="206"/>
      <c r="J140" s="297">
        <f t="shared" si="10"/>
        <v>0</v>
      </c>
      <c r="K140" s="309"/>
      <c r="L140" s="191"/>
      <c r="M140" s="194" t="str">
        <f t="shared" si="11"/>
        <v/>
      </c>
      <c r="N140" s="193" t="str">
        <f t="shared" si="12"/>
        <v/>
      </c>
      <c r="O140" s="195" t="str">
        <f t="shared" si="13"/>
        <v/>
      </c>
      <c r="P140" s="252"/>
      <c r="Q140" s="466"/>
      <c r="R140" s="467"/>
      <c r="S140" s="467"/>
      <c r="T140" s="468"/>
      <c r="U140" s="261"/>
      <c r="V140" s="261"/>
      <c r="W140" s="261"/>
      <c r="X140" s="262"/>
      <c r="Y140" s="261"/>
    </row>
    <row r="141" spans="2:25" outlineLevel="1" x14ac:dyDescent="0.25">
      <c r="B141" s="180"/>
      <c r="C141" s="357"/>
      <c r="D141" s="358"/>
      <c r="E141" s="185">
        <f t="shared" si="9"/>
        <v>0</v>
      </c>
      <c r="F141" s="359"/>
      <c r="G141" s="349"/>
      <c r="H141" s="206"/>
      <c r="I141" s="206"/>
      <c r="J141" s="297">
        <f t="shared" si="10"/>
        <v>0</v>
      </c>
      <c r="K141" s="309"/>
      <c r="L141" s="191"/>
      <c r="M141" s="194" t="str">
        <f t="shared" si="11"/>
        <v/>
      </c>
      <c r="N141" s="193" t="str">
        <f t="shared" si="12"/>
        <v/>
      </c>
      <c r="O141" s="195" t="str">
        <f t="shared" si="13"/>
        <v/>
      </c>
      <c r="P141" s="252"/>
      <c r="Q141" s="466"/>
      <c r="R141" s="467"/>
      <c r="S141" s="467"/>
      <c r="T141" s="468"/>
      <c r="U141" s="261"/>
      <c r="V141" s="261"/>
      <c r="W141" s="261"/>
      <c r="X141" s="262"/>
      <c r="Y141" s="261"/>
    </row>
    <row r="142" spans="2:25" outlineLevel="1" x14ac:dyDescent="0.25">
      <c r="B142" s="180"/>
      <c r="C142" s="357"/>
      <c r="D142" s="358"/>
      <c r="E142" s="185">
        <f t="shared" si="9"/>
        <v>0</v>
      </c>
      <c r="F142" s="359"/>
      <c r="G142" s="349"/>
      <c r="H142" s="206"/>
      <c r="I142" s="206"/>
      <c r="J142" s="297">
        <f t="shared" si="10"/>
        <v>0</v>
      </c>
      <c r="K142" s="309"/>
      <c r="L142" s="191"/>
      <c r="M142" s="194" t="str">
        <f t="shared" si="11"/>
        <v/>
      </c>
      <c r="N142" s="193" t="str">
        <f t="shared" si="12"/>
        <v/>
      </c>
      <c r="O142" s="195" t="str">
        <f t="shared" si="13"/>
        <v/>
      </c>
      <c r="P142" s="252"/>
      <c r="Q142" s="466"/>
      <c r="R142" s="467"/>
      <c r="S142" s="467"/>
      <c r="T142" s="468"/>
      <c r="U142" s="261"/>
      <c r="V142" s="261"/>
      <c r="W142" s="261"/>
      <c r="X142" s="262"/>
      <c r="Y142" s="261"/>
    </row>
    <row r="143" spans="2:25" outlineLevel="1" x14ac:dyDescent="0.25">
      <c r="B143" s="180"/>
      <c r="C143" s="357"/>
      <c r="D143" s="358"/>
      <c r="E143" s="185">
        <f t="shared" si="9"/>
        <v>0</v>
      </c>
      <c r="F143" s="359"/>
      <c r="G143" s="349"/>
      <c r="H143" s="206"/>
      <c r="I143" s="206"/>
      <c r="J143" s="297">
        <f t="shared" si="10"/>
        <v>0</v>
      </c>
      <c r="K143" s="309"/>
      <c r="L143" s="191"/>
      <c r="M143" s="194" t="str">
        <f t="shared" si="11"/>
        <v/>
      </c>
      <c r="N143" s="193" t="str">
        <f t="shared" si="12"/>
        <v/>
      </c>
      <c r="O143" s="195" t="str">
        <f t="shared" si="13"/>
        <v/>
      </c>
      <c r="P143" s="252"/>
      <c r="Q143" s="466"/>
      <c r="R143" s="467"/>
      <c r="S143" s="467"/>
      <c r="T143" s="468"/>
      <c r="U143" s="261"/>
      <c r="V143" s="261"/>
      <c r="W143" s="261"/>
      <c r="X143" s="262"/>
      <c r="Y143" s="261"/>
    </row>
    <row r="144" spans="2:25" outlineLevel="1" x14ac:dyDescent="0.25">
      <c r="B144" s="180"/>
      <c r="C144" s="357"/>
      <c r="D144" s="358"/>
      <c r="E144" s="185">
        <f t="shared" si="9"/>
        <v>0</v>
      </c>
      <c r="F144" s="359"/>
      <c r="G144" s="349"/>
      <c r="H144" s="206"/>
      <c r="I144" s="206"/>
      <c r="J144" s="297">
        <f t="shared" si="10"/>
        <v>0</v>
      </c>
      <c r="K144" s="309"/>
      <c r="L144" s="191"/>
      <c r="M144" s="194" t="str">
        <f t="shared" si="11"/>
        <v/>
      </c>
      <c r="N144" s="193" t="str">
        <f t="shared" si="12"/>
        <v/>
      </c>
      <c r="O144" s="195" t="str">
        <f t="shared" si="13"/>
        <v/>
      </c>
      <c r="P144" s="252"/>
      <c r="Q144" s="466"/>
      <c r="R144" s="467"/>
      <c r="S144" s="467"/>
      <c r="T144" s="468"/>
      <c r="U144" s="261"/>
      <c r="V144" s="261"/>
      <c r="W144" s="261"/>
      <c r="X144" s="262"/>
      <c r="Y144" s="261"/>
    </row>
    <row r="145" spans="2:25" outlineLevel="1" x14ac:dyDescent="0.25">
      <c r="B145" s="180"/>
      <c r="C145" s="357"/>
      <c r="D145" s="358"/>
      <c r="E145" s="185">
        <f t="shared" si="9"/>
        <v>0</v>
      </c>
      <c r="F145" s="359"/>
      <c r="G145" s="349"/>
      <c r="H145" s="206"/>
      <c r="I145" s="206"/>
      <c r="J145" s="297">
        <f t="shared" si="10"/>
        <v>0</v>
      </c>
      <c r="K145" s="309"/>
      <c r="L145" s="191"/>
      <c r="M145" s="194" t="str">
        <f t="shared" si="11"/>
        <v/>
      </c>
      <c r="N145" s="193" t="str">
        <f t="shared" si="12"/>
        <v/>
      </c>
      <c r="O145" s="195" t="str">
        <f t="shared" si="13"/>
        <v/>
      </c>
      <c r="P145" s="252"/>
      <c r="Q145" s="466"/>
      <c r="R145" s="467"/>
      <c r="S145" s="467"/>
      <c r="T145" s="468"/>
      <c r="U145" s="261"/>
      <c r="V145" s="261"/>
      <c r="W145" s="261"/>
      <c r="X145" s="262"/>
      <c r="Y145" s="261"/>
    </row>
    <row r="146" spans="2:25" outlineLevel="1" x14ac:dyDescent="0.25">
      <c r="B146" s="180"/>
      <c r="C146" s="357"/>
      <c r="D146" s="358"/>
      <c r="E146" s="185">
        <f t="shared" si="9"/>
        <v>0</v>
      </c>
      <c r="F146" s="359"/>
      <c r="G146" s="349"/>
      <c r="H146" s="206"/>
      <c r="I146" s="206"/>
      <c r="J146" s="297">
        <f t="shared" si="10"/>
        <v>0</v>
      </c>
      <c r="K146" s="309"/>
      <c r="L146" s="191"/>
      <c r="M146" s="194" t="str">
        <f t="shared" si="11"/>
        <v/>
      </c>
      <c r="N146" s="193" t="str">
        <f t="shared" si="12"/>
        <v/>
      </c>
      <c r="O146" s="195" t="str">
        <f t="shared" si="13"/>
        <v/>
      </c>
      <c r="P146" s="252"/>
      <c r="Q146" s="466"/>
      <c r="R146" s="467"/>
      <c r="S146" s="467"/>
      <c r="T146" s="468"/>
      <c r="U146" s="261"/>
      <c r="V146" s="261"/>
      <c r="W146" s="261"/>
      <c r="X146" s="262"/>
      <c r="Y146" s="261"/>
    </row>
    <row r="147" spans="2:25" outlineLevel="1" x14ac:dyDescent="0.25">
      <c r="B147" s="180"/>
      <c r="C147" s="357"/>
      <c r="D147" s="358"/>
      <c r="E147" s="185">
        <f t="shared" si="9"/>
        <v>0</v>
      </c>
      <c r="F147" s="359"/>
      <c r="G147" s="349"/>
      <c r="H147" s="206"/>
      <c r="I147" s="206"/>
      <c r="J147" s="297">
        <f t="shared" si="10"/>
        <v>0</v>
      </c>
      <c r="K147" s="309"/>
      <c r="L147" s="191"/>
      <c r="M147" s="194" t="str">
        <f t="shared" si="11"/>
        <v/>
      </c>
      <c r="N147" s="193" t="str">
        <f t="shared" si="12"/>
        <v/>
      </c>
      <c r="O147" s="195" t="str">
        <f t="shared" si="13"/>
        <v/>
      </c>
      <c r="P147" s="252"/>
      <c r="Q147" s="466"/>
      <c r="R147" s="467"/>
      <c r="S147" s="467"/>
      <c r="T147" s="468"/>
      <c r="U147" s="261"/>
      <c r="V147" s="261"/>
      <c r="W147" s="261"/>
      <c r="X147" s="262"/>
      <c r="Y147" s="261"/>
    </row>
    <row r="148" spans="2:25" outlineLevel="1" x14ac:dyDescent="0.25">
      <c r="B148" s="180"/>
      <c r="C148" s="357"/>
      <c r="D148" s="358"/>
      <c r="E148" s="185">
        <f t="shared" si="9"/>
        <v>0</v>
      </c>
      <c r="F148" s="359"/>
      <c r="G148" s="349"/>
      <c r="H148" s="206"/>
      <c r="I148" s="206"/>
      <c r="J148" s="297">
        <f t="shared" si="10"/>
        <v>0</v>
      </c>
      <c r="K148" s="309"/>
      <c r="L148" s="191"/>
      <c r="M148" s="194" t="str">
        <f t="shared" si="11"/>
        <v/>
      </c>
      <c r="N148" s="193" t="str">
        <f t="shared" si="12"/>
        <v/>
      </c>
      <c r="O148" s="195" t="str">
        <f t="shared" si="13"/>
        <v/>
      </c>
      <c r="P148" s="252"/>
      <c r="Q148" s="466"/>
      <c r="R148" s="467"/>
      <c r="S148" s="467"/>
      <c r="T148" s="468"/>
      <c r="U148" s="261"/>
      <c r="V148" s="261"/>
      <c r="W148" s="261"/>
      <c r="X148" s="262"/>
      <c r="Y148" s="261"/>
    </row>
    <row r="149" spans="2:25" outlineLevel="1" x14ac:dyDescent="0.25">
      <c r="B149" s="180"/>
      <c r="C149" s="357"/>
      <c r="D149" s="358"/>
      <c r="E149" s="185">
        <f t="shared" si="9"/>
        <v>0</v>
      </c>
      <c r="F149" s="359"/>
      <c r="G149" s="349"/>
      <c r="H149" s="206"/>
      <c r="I149" s="206"/>
      <c r="J149" s="297">
        <f t="shared" si="10"/>
        <v>0</v>
      </c>
      <c r="K149" s="309"/>
      <c r="L149" s="191"/>
      <c r="M149" s="194" t="str">
        <f t="shared" si="11"/>
        <v/>
      </c>
      <c r="N149" s="193" t="str">
        <f t="shared" si="12"/>
        <v/>
      </c>
      <c r="O149" s="195" t="str">
        <f t="shared" si="13"/>
        <v/>
      </c>
      <c r="P149" s="252"/>
      <c r="Q149" s="466"/>
      <c r="R149" s="467"/>
      <c r="S149" s="467"/>
      <c r="T149" s="468"/>
      <c r="U149" s="261"/>
      <c r="V149" s="261"/>
      <c r="W149" s="261"/>
      <c r="X149" s="262"/>
      <c r="Y149" s="261"/>
    </row>
    <row r="150" spans="2:25" outlineLevel="1" x14ac:dyDescent="0.25">
      <c r="B150" s="180"/>
      <c r="C150" s="357"/>
      <c r="D150" s="358"/>
      <c r="E150" s="185">
        <f t="shared" si="9"/>
        <v>0</v>
      </c>
      <c r="F150" s="359"/>
      <c r="G150" s="349"/>
      <c r="H150" s="206"/>
      <c r="I150" s="206"/>
      <c r="J150" s="297">
        <f t="shared" si="10"/>
        <v>0</v>
      </c>
      <c r="K150" s="309"/>
      <c r="L150" s="191"/>
      <c r="M150" s="194" t="str">
        <f t="shared" si="11"/>
        <v/>
      </c>
      <c r="N150" s="193" t="str">
        <f t="shared" si="12"/>
        <v/>
      </c>
      <c r="O150" s="195" t="str">
        <f t="shared" si="13"/>
        <v/>
      </c>
      <c r="P150" s="252"/>
      <c r="Q150" s="466"/>
      <c r="R150" s="467"/>
      <c r="S150" s="467"/>
      <c r="T150" s="468"/>
      <c r="U150" s="261"/>
      <c r="V150" s="261"/>
      <c r="W150" s="261"/>
      <c r="X150" s="262"/>
      <c r="Y150" s="261"/>
    </row>
    <row r="151" spans="2:25" outlineLevel="1" x14ac:dyDescent="0.25">
      <c r="B151" s="180"/>
      <c r="C151" s="357"/>
      <c r="D151" s="358"/>
      <c r="E151" s="185">
        <f t="shared" si="9"/>
        <v>0</v>
      </c>
      <c r="F151" s="359"/>
      <c r="G151" s="349"/>
      <c r="H151" s="206"/>
      <c r="I151" s="206"/>
      <c r="J151" s="297">
        <f t="shared" si="10"/>
        <v>0</v>
      </c>
      <c r="K151" s="309"/>
      <c r="L151" s="191"/>
      <c r="M151" s="194" t="str">
        <f t="shared" si="11"/>
        <v/>
      </c>
      <c r="N151" s="193" t="str">
        <f t="shared" si="12"/>
        <v/>
      </c>
      <c r="O151" s="195" t="str">
        <f t="shared" si="13"/>
        <v/>
      </c>
      <c r="P151" s="252"/>
      <c r="Q151" s="466"/>
      <c r="R151" s="467"/>
      <c r="S151" s="467"/>
      <c r="T151" s="468"/>
      <c r="U151" s="261"/>
      <c r="V151" s="261"/>
      <c r="W151" s="261"/>
      <c r="X151" s="262"/>
      <c r="Y151" s="261"/>
    </row>
    <row r="152" spans="2:25" outlineLevel="1" x14ac:dyDescent="0.25">
      <c r="B152" s="180"/>
      <c r="C152" s="357"/>
      <c r="D152" s="358"/>
      <c r="E152" s="185">
        <f t="shared" si="9"/>
        <v>0</v>
      </c>
      <c r="F152" s="359"/>
      <c r="G152" s="349"/>
      <c r="H152" s="206"/>
      <c r="I152" s="206"/>
      <c r="J152" s="297">
        <f t="shared" si="10"/>
        <v>0</v>
      </c>
      <c r="K152" s="309"/>
      <c r="L152" s="191"/>
      <c r="M152" s="194" t="str">
        <f t="shared" si="11"/>
        <v/>
      </c>
      <c r="N152" s="193" t="str">
        <f t="shared" si="12"/>
        <v/>
      </c>
      <c r="O152" s="195" t="str">
        <f t="shared" si="13"/>
        <v/>
      </c>
      <c r="P152" s="252"/>
      <c r="Q152" s="466"/>
      <c r="R152" s="467"/>
      <c r="S152" s="467"/>
      <c r="T152" s="468"/>
      <c r="U152" s="261"/>
      <c r="V152" s="261"/>
      <c r="W152" s="261"/>
      <c r="X152" s="262"/>
      <c r="Y152" s="261"/>
    </row>
    <row r="153" spans="2:25" outlineLevel="1" x14ac:dyDescent="0.25">
      <c r="B153" s="180"/>
      <c r="C153" s="357"/>
      <c r="D153" s="358"/>
      <c r="E153" s="185">
        <f t="shared" si="9"/>
        <v>0</v>
      </c>
      <c r="F153" s="359"/>
      <c r="G153" s="349"/>
      <c r="H153" s="206"/>
      <c r="I153" s="206"/>
      <c r="J153" s="297">
        <f t="shared" si="10"/>
        <v>0</v>
      </c>
      <c r="K153" s="309"/>
      <c r="L153" s="191"/>
      <c r="M153" s="194" t="str">
        <f t="shared" si="11"/>
        <v/>
      </c>
      <c r="N153" s="193" t="str">
        <f t="shared" si="12"/>
        <v/>
      </c>
      <c r="O153" s="195" t="str">
        <f t="shared" si="13"/>
        <v/>
      </c>
      <c r="P153" s="252"/>
      <c r="Q153" s="466"/>
      <c r="R153" s="467"/>
      <c r="S153" s="467"/>
      <c r="T153" s="468"/>
      <c r="U153" s="261"/>
      <c r="V153" s="261"/>
      <c r="W153" s="261"/>
      <c r="X153" s="262"/>
      <c r="Y153" s="261"/>
    </row>
    <row r="154" spans="2:25" outlineLevel="1" x14ac:dyDescent="0.25">
      <c r="B154" s="180"/>
      <c r="C154" s="357"/>
      <c r="D154" s="358"/>
      <c r="E154" s="185">
        <f t="shared" si="9"/>
        <v>0</v>
      </c>
      <c r="F154" s="359"/>
      <c r="G154" s="349"/>
      <c r="H154" s="206"/>
      <c r="I154" s="206"/>
      <c r="J154" s="297">
        <f t="shared" si="10"/>
        <v>0</v>
      </c>
      <c r="K154" s="309"/>
      <c r="L154" s="191"/>
      <c r="M154" s="194" t="str">
        <f t="shared" si="11"/>
        <v/>
      </c>
      <c r="N154" s="193" t="str">
        <f t="shared" si="12"/>
        <v/>
      </c>
      <c r="O154" s="195" t="str">
        <f t="shared" si="13"/>
        <v/>
      </c>
      <c r="P154" s="252"/>
      <c r="Q154" s="466"/>
      <c r="R154" s="467"/>
      <c r="S154" s="467"/>
      <c r="T154" s="468"/>
      <c r="U154" s="261"/>
      <c r="V154" s="261"/>
      <c r="W154" s="261"/>
      <c r="X154" s="262"/>
      <c r="Y154" s="261"/>
    </row>
    <row r="155" spans="2:25" outlineLevel="1" x14ac:dyDescent="0.25">
      <c r="B155" s="180"/>
      <c r="C155" s="357"/>
      <c r="D155" s="358"/>
      <c r="E155" s="185">
        <f t="shared" si="9"/>
        <v>0</v>
      </c>
      <c r="F155" s="359"/>
      <c r="G155" s="349"/>
      <c r="H155" s="206"/>
      <c r="I155" s="206"/>
      <c r="J155" s="297">
        <f t="shared" si="10"/>
        <v>0</v>
      </c>
      <c r="K155" s="309"/>
      <c r="L155" s="191"/>
      <c r="M155" s="194" t="str">
        <f t="shared" si="11"/>
        <v/>
      </c>
      <c r="N155" s="193" t="str">
        <f t="shared" si="12"/>
        <v/>
      </c>
      <c r="O155" s="195" t="str">
        <f t="shared" si="13"/>
        <v/>
      </c>
      <c r="P155" s="252"/>
      <c r="Q155" s="466"/>
      <c r="R155" s="467"/>
      <c r="S155" s="467"/>
      <c r="T155" s="468"/>
      <c r="U155" s="261"/>
      <c r="V155" s="261"/>
      <c r="W155" s="261"/>
      <c r="X155" s="262"/>
      <c r="Y155" s="261"/>
    </row>
    <row r="156" spans="2:25" outlineLevel="1" x14ac:dyDescent="0.25">
      <c r="B156" s="180"/>
      <c r="C156" s="357"/>
      <c r="D156" s="358"/>
      <c r="E156" s="185">
        <f t="shared" si="9"/>
        <v>0</v>
      </c>
      <c r="F156" s="359"/>
      <c r="G156" s="349"/>
      <c r="H156" s="206"/>
      <c r="I156" s="206"/>
      <c r="J156" s="297">
        <f t="shared" si="10"/>
        <v>0</v>
      </c>
      <c r="K156" s="309"/>
      <c r="L156" s="191"/>
      <c r="M156" s="194" t="str">
        <f t="shared" si="11"/>
        <v/>
      </c>
      <c r="N156" s="193" t="str">
        <f t="shared" si="12"/>
        <v/>
      </c>
      <c r="O156" s="195" t="str">
        <f t="shared" si="13"/>
        <v/>
      </c>
      <c r="P156" s="252"/>
      <c r="Q156" s="466"/>
      <c r="R156" s="467"/>
      <c r="S156" s="467"/>
      <c r="T156" s="468"/>
      <c r="U156" s="261"/>
      <c r="V156" s="261"/>
      <c r="W156" s="261"/>
      <c r="X156" s="262"/>
      <c r="Y156" s="261"/>
    </row>
    <row r="157" spans="2:25" outlineLevel="1" x14ac:dyDescent="0.25">
      <c r="B157" s="180"/>
      <c r="C157" s="357"/>
      <c r="D157" s="358"/>
      <c r="E157" s="185">
        <f t="shared" si="9"/>
        <v>0</v>
      </c>
      <c r="F157" s="359"/>
      <c r="G157" s="349"/>
      <c r="H157" s="206"/>
      <c r="I157" s="206"/>
      <c r="J157" s="297">
        <f t="shared" si="10"/>
        <v>0</v>
      </c>
      <c r="K157" s="309"/>
      <c r="L157" s="191"/>
      <c r="M157" s="194" t="str">
        <f t="shared" si="11"/>
        <v/>
      </c>
      <c r="N157" s="193" t="str">
        <f t="shared" si="12"/>
        <v/>
      </c>
      <c r="O157" s="195" t="str">
        <f t="shared" si="13"/>
        <v/>
      </c>
      <c r="P157" s="252"/>
      <c r="Q157" s="466"/>
      <c r="R157" s="467"/>
      <c r="S157" s="467"/>
      <c r="T157" s="468"/>
      <c r="U157" s="261"/>
      <c r="V157" s="261"/>
      <c r="W157" s="261"/>
      <c r="X157" s="262"/>
      <c r="Y157" s="261"/>
    </row>
    <row r="158" spans="2:25" outlineLevel="1" x14ac:dyDescent="0.25">
      <c r="B158" s="180"/>
      <c r="C158" s="357"/>
      <c r="D158" s="358"/>
      <c r="E158" s="185">
        <f t="shared" si="9"/>
        <v>0</v>
      </c>
      <c r="F158" s="359"/>
      <c r="G158" s="349"/>
      <c r="H158" s="206"/>
      <c r="I158" s="206"/>
      <c r="J158" s="297">
        <f t="shared" si="10"/>
        <v>0</v>
      </c>
      <c r="K158" s="309"/>
      <c r="L158" s="191"/>
      <c r="M158" s="194" t="str">
        <f t="shared" si="11"/>
        <v/>
      </c>
      <c r="N158" s="193" t="str">
        <f t="shared" si="12"/>
        <v/>
      </c>
      <c r="O158" s="195" t="str">
        <f t="shared" si="13"/>
        <v/>
      </c>
      <c r="P158" s="252"/>
      <c r="Q158" s="466"/>
      <c r="R158" s="467"/>
      <c r="S158" s="467"/>
      <c r="T158" s="468"/>
      <c r="U158" s="261"/>
      <c r="V158" s="261"/>
      <c r="W158" s="261"/>
      <c r="X158" s="262"/>
      <c r="Y158" s="261"/>
    </row>
    <row r="159" spans="2:25" outlineLevel="1" x14ac:dyDescent="0.25">
      <c r="B159" s="180"/>
      <c r="C159" s="357"/>
      <c r="D159" s="358"/>
      <c r="E159" s="185">
        <f t="shared" si="9"/>
        <v>0</v>
      </c>
      <c r="F159" s="359"/>
      <c r="G159" s="349"/>
      <c r="H159" s="206"/>
      <c r="I159" s="206"/>
      <c r="J159" s="297">
        <f t="shared" si="10"/>
        <v>0</v>
      </c>
      <c r="K159" s="309"/>
      <c r="L159" s="191"/>
      <c r="M159" s="194" t="str">
        <f t="shared" si="11"/>
        <v/>
      </c>
      <c r="N159" s="193" t="str">
        <f t="shared" si="12"/>
        <v/>
      </c>
      <c r="O159" s="195" t="str">
        <f t="shared" si="13"/>
        <v/>
      </c>
      <c r="P159" s="252"/>
      <c r="Q159" s="466"/>
      <c r="R159" s="467"/>
      <c r="S159" s="467"/>
      <c r="T159" s="468"/>
      <c r="U159" s="261"/>
      <c r="V159" s="261"/>
      <c r="W159" s="261"/>
      <c r="X159" s="262"/>
      <c r="Y159" s="261"/>
    </row>
    <row r="160" spans="2:25" outlineLevel="1" x14ac:dyDescent="0.25">
      <c r="B160" s="180"/>
      <c r="C160" s="357"/>
      <c r="D160" s="358"/>
      <c r="E160" s="185">
        <f t="shared" si="9"/>
        <v>0</v>
      </c>
      <c r="F160" s="359"/>
      <c r="G160" s="349"/>
      <c r="H160" s="206"/>
      <c r="I160" s="206"/>
      <c r="J160" s="297">
        <f t="shared" si="10"/>
        <v>0</v>
      </c>
      <c r="K160" s="309"/>
      <c r="L160" s="191"/>
      <c r="M160" s="194" t="str">
        <f t="shared" si="11"/>
        <v/>
      </c>
      <c r="N160" s="193" t="str">
        <f t="shared" si="12"/>
        <v/>
      </c>
      <c r="O160" s="195" t="str">
        <f t="shared" si="13"/>
        <v/>
      </c>
      <c r="P160" s="252"/>
      <c r="Q160" s="466"/>
      <c r="R160" s="467"/>
      <c r="S160" s="467"/>
      <c r="T160" s="468"/>
      <c r="U160" s="261"/>
      <c r="V160" s="261"/>
      <c r="W160" s="261"/>
      <c r="X160" s="262"/>
      <c r="Y160" s="261"/>
    </row>
    <row r="161" spans="2:25" outlineLevel="1" x14ac:dyDescent="0.25">
      <c r="B161" s="180"/>
      <c r="C161" s="357"/>
      <c r="D161" s="358"/>
      <c r="E161" s="185">
        <f t="shared" si="9"/>
        <v>0</v>
      </c>
      <c r="F161" s="359"/>
      <c r="G161" s="349"/>
      <c r="H161" s="206"/>
      <c r="I161" s="206"/>
      <c r="J161" s="297">
        <f t="shared" si="10"/>
        <v>0</v>
      </c>
      <c r="K161" s="309"/>
      <c r="L161" s="191"/>
      <c r="M161" s="194" t="str">
        <f t="shared" si="11"/>
        <v/>
      </c>
      <c r="N161" s="193" t="str">
        <f t="shared" si="12"/>
        <v/>
      </c>
      <c r="O161" s="195" t="str">
        <f t="shared" si="13"/>
        <v/>
      </c>
      <c r="P161" s="252"/>
      <c r="Q161" s="466"/>
      <c r="R161" s="467"/>
      <c r="S161" s="467"/>
      <c r="T161" s="468"/>
      <c r="U161" s="261"/>
      <c r="V161" s="261"/>
      <c r="W161" s="261"/>
      <c r="X161" s="262"/>
      <c r="Y161" s="261"/>
    </row>
    <row r="162" spans="2:25" outlineLevel="1" x14ac:dyDescent="0.25">
      <c r="B162" s="180"/>
      <c r="C162" s="357"/>
      <c r="D162" s="358"/>
      <c r="E162" s="185">
        <f t="shared" si="9"/>
        <v>0</v>
      </c>
      <c r="F162" s="359"/>
      <c r="G162" s="349"/>
      <c r="H162" s="206"/>
      <c r="I162" s="206"/>
      <c r="J162" s="297">
        <f t="shared" si="10"/>
        <v>0</v>
      </c>
      <c r="K162" s="309"/>
      <c r="L162" s="191"/>
      <c r="M162" s="194" t="str">
        <f t="shared" si="11"/>
        <v/>
      </c>
      <c r="N162" s="193" t="str">
        <f t="shared" si="12"/>
        <v/>
      </c>
      <c r="O162" s="195" t="str">
        <f t="shared" si="13"/>
        <v/>
      </c>
      <c r="P162" s="252"/>
      <c r="Q162" s="466"/>
      <c r="R162" s="467"/>
      <c r="S162" s="467"/>
      <c r="T162" s="468"/>
      <c r="U162" s="261"/>
      <c r="V162" s="261"/>
      <c r="W162" s="261"/>
      <c r="X162" s="262"/>
      <c r="Y162" s="261"/>
    </row>
    <row r="163" spans="2:25" outlineLevel="1" x14ac:dyDescent="0.25">
      <c r="B163" s="180"/>
      <c r="C163" s="357"/>
      <c r="D163" s="358"/>
      <c r="E163" s="185">
        <f t="shared" si="9"/>
        <v>0</v>
      </c>
      <c r="F163" s="359"/>
      <c r="G163" s="349"/>
      <c r="H163" s="206"/>
      <c r="I163" s="206"/>
      <c r="J163" s="297">
        <f t="shared" si="10"/>
        <v>0</v>
      </c>
      <c r="K163" s="309"/>
      <c r="L163" s="191"/>
      <c r="M163" s="194" t="str">
        <f t="shared" si="11"/>
        <v/>
      </c>
      <c r="N163" s="193" t="str">
        <f t="shared" si="12"/>
        <v/>
      </c>
      <c r="O163" s="195" t="str">
        <f t="shared" si="13"/>
        <v/>
      </c>
      <c r="P163" s="252"/>
      <c r="Q163" s="466"/>
      <c r="R163" s="467"/>
      <c r="S163" s="467"/>
      <c r="T163" s="468"/>
      <c r="U163" s="261"/>
      <c r="V163" s="261"/>
      <c r="W163" s="261"/>
      <c r="X163" s="262"/>
      <c r="Y163" s="261"/>
    </row>
    <row r="164" spans="2:25" outlineLevel="1" x14ac:dyDescent="0.25">
      <c r="B164" s="180"/>
      <c r="C164" s="357"/>
      <c r="D164" s="358"/>
      <c r="E164" s="185">
        <f t="shared" si="9"/>
        <v>0</v>
      </c>
      <c r="F164" s="359"/>
      <c r="G164" s="349"/>
      <c r="H164" s="206"/>
      <c r="I164" s="206"/>
      <c r="J164" s="297">
        <f t="shared" si="10"/>
        <v>0</v>
      </c>
      <c r="K164" s="309"/>
      <c r="L164" s="191"/>
      <c r="M164" s="194" t="str">
        <f t="shared" si="11"/>
        <v/>
      </c>
      <c r="N164" s="193" t="str">
        <f t="shared" si="12"/>
        <v/>
      </c>
      <c r="O164" s="195" t="str">
        <f t="shared" si="13"/>
        <v/>
      </c>
      <c r="P164" s="252"/>
      <c r="Q164" s="466"/>
      <c r="R164" s="467"/>
      <c r="S164" s="467"/>
      <c r="T164" s="468"/>
      <c r="U164" s="261"/>
      <c r="V164" s="261"/>
      <c r="W164" s="261"/>
      <c r="X164" s="262"/>
      <c r="Y164" s="261"/>
    </row>
    <row r="165" spans="2:25" outlineLevel="1" x14ac:dyDescent="0.25">
      <c r="B165" s="180"/>
      <c r="C165" s="357"/>
      <c r="D165" s="358"/>
      <c r="E165" s="185">
        <f t="shared" si="9"/>
        <v>0</v>
      </c>
      <c r="F165" s="359"/>
      <c r="G165" s="349"/>
      <c r="H165" s="206"/>
      <c r="I165" s="206"/>
      <c r="J165" s="297">
        <f t="shared" si="10"/>
        <v>0</v>
      </c>
      <c r="K165" s="309"/>
      <c r="L165" s="191"/>
      <c r="M165" s="194" t="str">
        <f t="shared" si="11"/>
        <v/>
      </c>
      <c r="N165" s="193" t="str">
        <f t="shared" si="12"/>
        <v/>
      </c>
      <c r="O165" s="195" t="str">
        <f t="shared" si="13"/>
        <v/>
      </c>
      <c r="P165" s="252"/>
      <c r="Q165" s="466"/>
      <c r="R165" s="467"/>
      <c r="S165" s="467"/>
      <c r="T165" s="468"/>
      <c r="U165" s="261"/>
      <c r="V165" s="261"/>
      <c r="W165" s="261"/>
      <c r="X165" s="262"/>
      <c r="Y165" s="261"/>
    </row>
    <row r="166" spans="2:25" outlineLevel="1" x14ac:dyDescent="0.25">
      <c r="B166" s="180"/>
      <c r="C166" s="357"/>
      <c r="D166" s="358"/>
      <c r="E166" s="185">
        <f t="shared" si="9"/>
        <v>0</v>
      </c>
      <c r="F166" s="359"/>
      <c r="G166" s="349"/>
      <c r="H166" s="206"/>
      <c r="I166" s="206"/>
      <c r="J166" s="297">
        <f t="shared" si="10"/>
        <v>0</v>
      </c>
      <c r="K166" s="309"/>
      <c r="L166" s="191"/>
      <c r="M166" s="194" t="str">
        <f t="shared" si="11"/>
        <v/>
      </c>
      <c r="N166" s="193" t="str">
        <f t="shared" si="12"/>
        <v/>
      </c>
      <c r="O166" s="195" t="str">
        <f t="shared" si="13"/>
        <v/>
      </c>
      <c r="P166" s="252"/>
      <c r="Q166" s="466"/>
      <c r="R166" s="467"/>
      <c r="S166" s="467"/>
      <c r="T166" s="468"/>
      <c r="U166" s="261"/>
      <c r="V166" s="261"/>
      <c r="W166" s="261"/>
      <c r="X166" s="262"/>
      <c r="Y166" s="261"/>
    </row>
    <row r="167" spans="2:25" outlineLevel="1" x14ac:dyDescent="0.25">
      <c r="B167" s="180"/>
      <c r="C167" s="357"/>
      <c r="D167" s="358"/>
      <c r="E167" s="185">
        <f t="shared" si="9"/>
        <v>0</v>
      </c>
      <c r="F167" s="359"/>
      <c r="G167" s="349"/>
      <c r="H167" s="206"/>
      <c r="I167" s="206"/>
      <c r="J167" s="297">
        <f t="shared" si="10"/>
        <v>0</v>
      </c>
      <c r="K167" s="309"/>
      <c r="L167" s="191"/>
      <c r="M167" s="194" t="str">
        <f t="shared" si="11"/>
        <v/>
      </c>
      <c r="N167" s="193" t="str">
        <f t="shared" si="12"/>
        <v/>
      </c>
      <c r="O167" s="195" t="str">
        <f t="shared" si="13"/>
        <v/>
      </c>
      <c r="P167" s="252"/>
      <c r="Q167" s="466"/>
      <c r="R167" s="467"/>
      <c r="S167" s="467"/>
      <c r="T167" s="468"/>
      <c r="U167" s="261"/>
      <c r="V167" s="261"/>
      <c r="W167" s="261"/>
      <c r="X167" s="262"/>
      <c r="Y167" s="261"/>
    </row>
    <row r="168" spans="2:25" outlineLevel="1" x14ac:dyDescent="0.25">
      <c r="B168" s="180"/>
      <c r="C168" s="357"/>
      <c r="D168" s="358"/>
      <c r="E168" s="185">
        <f t="shared" si="9"/>
        <v>0</v>
      </c>
      <c r="F168" s="359"/>
      <c r="G168" s="349"/>
      <c r="H168" s="206"/>
      <c r="I168" s="206"/>
      <c r="J168" s="297">
        <f t="shared" si="10"/>
        <v>0</v>
      </c>
      <c r="K168" s="309"/>
      <c r="L168" s="191"/>
      <c r="M168" s="194" t="str">
        <f t="shared" si="11"/>
        <v/>
      </c>
      <c r="N168" s="193" t="str">
        <f t="shared" si="12"/>
        <v/>
      </c>
      <c r="O168" s="195" t="str">
        <f t="shared" si="13"/>
        <v/>
      </c>
      <c r="P168" s="252"/>
      <c r="Q168" s="466"/>
      <c r="R168" s="467"/>
      <c r="S168" s="467"/>
      <c r="T168" s="468"/>
      <c r="U168" s="261"/>
      <c r="V168" s="261"/>
      <c r="W168" s="261"/>
      <c r="X168" s="262"/>
      <c r="Y168" s="261"/>
    </row>
    <row r="169" spans="2:25" outlineLevel="1" x14ac:dyDescent="0.25">
      <c r="B169" s="180"/>
      <c r="C169" s="357"/>
      <c r="D169" s="358"/>
      <c r="E169" s="185">
        <f t="shared" si="9"/>
        <v>0</v>
      </c>
      <c r="F169" s="359"/>
      <c r="G169" s="349"/>
      <c r="H169" s="206"/>
      <c r="I169" s="206"/>
      <c r="J169" s="297">
        <f t="shared" si="10"/>
        <v>0</v>
      </c>
      <c r="K169" s="309"/>
      <c r="L169" s="191"/>
      <c r="M169" s="194" t="str">
        <f t="shared" si="11"/>
        <v/>
      </c>
      <c r="N169" s="193" t="str">
        <f t="shared" si="12"/>
        <v/>
      </c>
      <c r="O169" s="195" t="str">
        <f t="shared" si="13"/>
        <v/>
      </c>
      <c r="P169" s="252"/>
      <c r="Q169" s="466"/>
      <c r="R169" s="467"/>
      <c r="S169" s="467"/>
      <c r="T169" s="468"/>
      <c r="U169" s="261"/>
      <c r="V169" s="261"/>
      <c r="W169" s="261"/>
      <c r="X169" s="262"/>
      <c r="Y169" s="261"/>
    </row>
    <row r="170" spans="2:25" outlineLevel="1" x14ac:dyDescent="0.25">
      <c r="B170" s="180"/>
      <c r="C170" s="357"/>
      <c r="D170" s="358"/>
      <c r="E170" s="185">
        <f t="shared" si="9"/>
        <v>0</v>
      </c>
      <c r="F170" s="359"/>
      <c r="G170" s="349"/>
      <c r="H170" s="206"/>
      <c r="I170" s="206"/>
      <c r="J170" s="297">
        <f t="shared" si="10"/>
        <v>0</v>
      </c>
      <c r="K170" s="309"/>
      <c r="L170" s="191"/>
      <c r="M170" s="194" t="str">
        <f t="shared" si="11"/>
        <v/>
      </c>
      <c r="N170" s="193" t="str">
        <f t="shared" si="12"/>
        <v/>
      </c>
      <c r="O170" s="195" t="str">
        <f t="shared" si="13"/>
        <v/>
      </c>
      <c r="P170" s="252"/>
      <c r="Q170" s="466"/>
      <c r="R170" s="467"/>
      <c r="S170" s="467"/>
      <c r="T170" s="468"/>
      <c r="U170" s="261"/>
      <c r="V170" s="261"/>
      <c r="W170" s="261"/>
      <c r="X170" s="262"/>
      <c r="Y170" s="261"/>
    </row>
    <row r="171" spans="2:25" outlineLevel="1" x14ac:dyDescent="0.25">
      <c r="B171" s="180"/>
      <c r="C171" s="357"/>
      <c r="D171" s="358"/>
      <c r="E171" s="185">
        <f t="shared" si="9"/>
        <v>0</v>
      </c>
      <c r="F171" s="359"/>
      <c r="G171" s="349"/>
      <c r="H171" s="206"/>
      <c r="I171" s="206"/>
      <c r="J171" s="297">
        <f t="shared" si="10"/>
        <v>0</v>
      </c>
      <c r="K171" s="309"/>
      <c r="L171" s="191"/>
      <c r="M171" s="194" t="str">
        <f t="shared" si="11"/>
        <v/>
      </c>
      <c r="N171" s="193" t="str">
        <f t="shared" si="12"/>
        <v/>
      </c>
      <c r="O171" s="195" t="str">
        <f t="shared" si="13"/>
        <v/>
      </c>
      <c r="P171" s="252"/>
      <c r="Q171" s="466"/>
      <c r="R171" s="467"/>
      <c r="S171" s="467"/>
      <c r="T171" s="468"/>
      <c r="U171" s="261"/>
      <c r="V171" s="261"/>
      <c r="W171" s="261"/>
      <c r="X171" s="262"/>
      <c r="Y171" s="261"/>
    </row>
    <row r="172" spans="2:25" outlineLevel="1" x14ac:dyDescent="0.25">
      <c r="B172" s="180"/>
      <c r="C172" s="357"/>
      <c r="D172" s="358"/>
      <c r="E172" s="185">
        <f t="shared" si="9"/>
        <v>0</v>
      </c>
      <c r="F172" s="359"/>
      <c r="G172" s="349"/>
      <c r="H172" s="206"/>
      <c r="I172" s="206"/>
      <c r="J172" s="297">
        <f t="shared" si="10"/>
        <v>0</v>
      </c>
      <c r="K172" s="309"/>
      <c r="L172" s="191"/>
      <c r="M172" s="194" t="str">
        <f t="shared" si="11"/>
        <v/>
      </c>
      <c r="N172" s="193" t="str">
        <f t="shared" si="12"/>
        <v/>
      </c>
      <c r="O172" s="195" t="str">
        <f t="shared" si="13"/>
        <v/>
      </c>
      <c r="P172" s="252"/>
      <c r="Q172" s="466"/>
      <c r="R172" s="467"/>
      <c r="S172" s="467"/>
      <c r="T172" s="468"/>
      <c r="U172" s="261"/>
      <c r="V172" s="261"/>
      <c r="W172" s="261"/>
      <c r="X172" s="262"/>
      <c r="Y172" s="261"/>
    </row>
    <row r="173" spans="2:25" outlineLevel="1" x14ac:dyDescent="0.25">
      <c r="B173" s="180"/>
      <c r="C173" s="357"/>
      <c r="D173" s="358"/>
      <c r="E173" s="185">
        <f t="shared" si="9"/>
        <v>0</v>
      </c>
      <c r="F173" s="359"/>
      <c r="G173" s="349"/>
      <c r="H173" s="206"/>
      <c r="I173" s="206"/>
      <c r="J173" s="297">
        <f t="shared" si="10"/>
        <v>0</v>
      </c>
      <c r="K173" s="309"/>
      <c r="L173" s="191"/>
      <c r="M173" s="194" t="str">
        <f t="shared" si="11"/>
        <v/>
      </c>
      <c r="N173" s="193" t="str">
        <f t="shared" si="12"/>
        <v/>
      </c>
      <c r="O173" s="195" t="str">
        <f t="shared" si="13"/>
        <v/>
      </c>
      <c r="P173" s="252"/>
      <c r="Q173" s="466"/>
      <c r="R173" s="467"/>
      <c r="S173" s="467"/>
      <c r="T173" s="468"/>
      <c r="U173" s="261"/>
      <c r="V173" s="261"/>
      <c r="W173" s="261"/>
      <c r="X173" s="262"/>
      <c r="Y173" s="261"/>
    </row>
    <row r="174" spans="2:25" outlineLevel="1" x14ac:dyDescent="0.25">
      <c r="B174" s="180"/>
      <c r="C174" s="357"/>
      <c r="D174" s="358"/>
      <c r="E174" s="185">
        <f t="shared" si="9"/>
        <v>0</v>
      </c>
      <c r="F174" s="359"/>
      <c r="G174" s="349"/>
      <c r="H174" s="206"/>
      <c r="I174" s="206"/>
      <c r="J174" s="297">
        <f t="shared" si="10"/>
        <v>0</v>
      </c>
      <c r="K174" s="309"/>
      <c r="L174" s="191"/>
      <c r="M174" s="194" t="str">
        <f t="shared" si="11"/>
        <v/>
      </c>
      <c r="N174" s="193" t="str">
        <f t="shared" si="12"/>
        <v/>
      </c>
      <c r="O174" s="195" t="str">
        <f t="shared" si="13"/>
        <v/>
      </c>
      <c r="P174" s="252"/>
      <c r="Q174" s="466"/>
      <c r="R174" s="467"/>
      <c r="S174" s="467"/>
      <c r="T174" s="468"/>
      <c r="U174" s="261"/>
      <c r="V174" s="261"/>
      <c r="W174" s="261"/>
      <c r="X174" s="262"/>
      <c r="Y174" s="261"/>
    </row>
    <row r="175" spans="2:25" outlineLevel="1" x14ac:dyDescent="0.25">
      <c r="B175" s="180"/>
      <c r="C175" s="357"/>
      <c r="D175" s="358"/>
      <c r="E175" s="185">
        <f t="shared" si="9"/>
        <v>0</v>
      </c>
      <c r="F175" s="359"/>
      <c r="G175" s="349"/>
      <c r="H175" s="206"/>
      <c r="I175" s="206"/>
      <c r="J175" s="297">
        <f t="shared" si="10"/>
        <v>0</v>
      </c>
      <c r="K175" s="309"/>
      <c r="L175" s="191"/>
      <c r="M175" s="194" t="str">
        <f t="shared" si="11"/>
        <v/>
      </c>
      <c r="N175" s="193" t="str">
        <f t="shared" si="12"/>
        <v/>
      </c>
      <c r="O175" s="195" t="str">
        <f t="shared" si="13"/>
        <v/>
      </c>
      <c r="P175" s="252"/>
      <c r="Q175" s="466"/>
      <c r="R175" s="467"/>
      <c r="S175" s="467"/>
      <c r="T175" s="468"/>
      <c r="U175" s="261"/>
      <c r="V175" s="261"/>
      <c r="W175" s="261"/>
      <c r="X175" s="262"/>
      <c r="Y175" s="261"/>
    </row>
    <row r="176" spans="2:25" outlineLevel="1" x14ac:dyDescent="0.25">
      <c r="B176" s="180"/>
      <c r="C176" s="357"/>
      <c r="D176" s="358"/>
      <c r="E176" s="185">
        <f t="shared" si="9"/>
        <v>0</v>
      </c>
      <c r="F176" s="359"/>
      <c r="G176" s="349"/>
      <c r="H176" s="206"/>
      <c r="I176" s="206"/>
      <c r="J176" s="297">
        <f t="shared" si="10"/>
        <v>0</v>
      </c>
      <c r="K176" s="309"/>
      <c r="L176" s="191"/>
      <c r="M176" s="194" t="str">
        <f t="shared" si="11"/>
        <v/>
      </c>
      <c r="N176" s="193" t="str">
        <f t="shared" si="12"/>
        <v/>
      </c>
      <c r="O176" s="195" t="str">
        <f t="shared" si="13"/>
        <v/>
      </c>
      <c r="P176" s="252"/>
      <c r="Q176" s="466"/>
      <c r="R176" s="467"/>
      <c r="S176" s="467"/>
      <c r="T176" s="468"/>
      <c r="U176" s="261"/>
      <c r="V176" s="261"/>
      <c r="W176" s="261"/>
      <c r="X176" s="262"/>
      <c r="Y176" s="261"/>
    </row>
    <row r="177" spans="2:25" outlineLevel="1" x14ac:dyDescent="0.25">
      <c r="B177" s="180"/>
      <c r="C177" s="357"/>
      <c r="D177" s="358"/>
      <c r="E177" s="185">
        <f t="shared" si="9"/>
        <v>0</v>
      </c>
      <c r="F177" s="359"/>
      <c r="G177" s="349"/>
      <c r="H177" s="206"/>
      <c r="I177" s="206"/>
      <c r="J177" s="297">
        <f t="shared" si="10"/>
        <v>0</v>
      </c>
      <c r="K177" s="309"/>
      <c r="L177" s="191"/>
      <c r="M177" s="194" t="str">
        <f t="shared" si="11"/>
        <v/>
      </c>
      <c r="N177" s="193" t="str">
        <f t="shared" si="12"/>
        <v/>
      </c>
      <c r="O177" s="195" t="str">
        <f t="shared" si="13"/>
        <v/>
      </c>
      <c r="P177" s="252"/>
      <c r="Q177" s="466"/>
      <c r="R177" s="467"/>
      <c r="S177" s="467"/>
      <c r="T177" s="468"/>
      <c r="U177" s="261"/>
      <c r="V177" s="261"/>
      <c r="W177" s="261"/>
      <c r="X177" s="262"/>
      <c r="Y177" s="261"/>
    </row>
    <row r="178" spans="2:25" outlineLevel="1" x14ac:dyDescent="0.25">
      <c r="B178" s="180"/>
      <c r="C178" s="357"/>
      <c r="D178" s="358"/>
      <c r="E178" s="185">
        <f t="shared" si="9"/>
        <v>0</v>
      </c>
      <c r="F178" s="359"/>
      <c r="G178" s="349"/>
      <c r="H178" s="206"/>
      <c r="I178" s="206"/>
      <c r="J178" s="297">
        <f t="shared" si="10"/>
        <v>0</v>
      </c>
      <c r="K178" s="309"/>
      <c r="L178" s="191"/>
      <c r="M178" s="194" t="str">
        <f t="shared" si="11"/>
        <v/>
      </c>
      <c r="N178" s="193" t="str">
        <f t="shared" si="12"/>
        <v/>
      </c>
      <c r="O178" s="195" t="str">
        <f t="shared" si="13"/>
        <v/>
      </c>
      <c r="P178" s="252"/>
      <c r="Q178" s="466"/>
      <c r="R178" s="467"/>
      <c r="S178" s="467"/>
      <c r="T178" s="468"/>
      <c r="U178" s="261"/>
      <c r="V178" s="261"/>
      <c r="W178" s="261"/>
      <c r="X178" s="262"/>
      <c r="Y178" s="261"/>
    </row>
    <row r="179" spans="2:25" outlineLevel="1" x14ac:dyDescent="0.25">
      <c r="B179" s="180"/>
      <c r="C179" s="357"/>
      <c r="D179" s="358"/>
      <c r="E179" s="185">
        <f t="shared" si="9"/>
        <v>0</v>
      </c>
      <c r="F179" s="359"/>
      <c r="G179" s="349"/>
      <c r="H179" s="206"/>
      <c r="I179" s="206"/>
      <c r="J179" s="297">
        <f t="shared" si="10"/>
        <v>0</v>
      </c>
      <c r="K179" s="309"/>
      <c r="L179" s="191"/>
      <c r="M179" s="194" t="str">
        <f t="shared" si="11"/>
        <v/>
      </c>
      <c r="N179" s="193" t="str">
        <f t="shared" si="12"/>
        <v/>
      </c>
      <c r="O179" s="195" t="str">
        <f t="shared" si="13"/>
        <v/>
      </c>
      <c r="P179" s="252"/>
      <c r="Q179" s="466"/>
      <c r="R179" s="467"/>
      <c r="S179" s="467"/>
      <c r="T179" s="468"/>
      <c r="U179" s="261"/>
      <c r="V179" s="261"/>
      <c r="W179" s="261"/>
      <c r="X179" s="262"/>
      <c r="Y179" s="261"/>
    </row>
    <row r="180" spans="2:25" outlineLevel="1" x14ac:dyDescent="0.25">
      <c r="B180" s="180"/>
      <c r="C180" s="357"/>
      <c r="D180" s="358"/>
      <c r="E180" s="185">
        <f t="shared" si="9"/>
        <v>0</v>
      </c>
      <c r="F180" s="359"/>
      <c r="G180" s="349"/>
      <c r="H180" s="206"/>
      <c r="I180" s="206"/>
      <c r="J180" s="297">
        <f t="shared" si="10"/>
        <v>0</v>
      </c>
      <c r="K180" s="309"/>
      <c r="L180" s="191"/>
      <c r="M180" s="194" t="str">
        <f t="shared" si="11"/>
        <v/>
      </c>
      <c r="N180" s="193" t="str">
        <f t="shared" si="12"/>
        <v/>
      </c>
      <c r="O180" s="195" t="str">
        <f t="shared" si="13"/>
        <v/>
      </c>
      <c r="P180" s="252"/>
      <c r="Q180" s="466"/>
      <c r="R180" s="467"/>
      <c r="S180" s="467"/>
      <c r="T180" s="468"/>
      <c r="U180" s="261"/>
      <c r="V180" s="261"/>
      <c r="W180" s="261"/>
      <c r="X180" s="262"/>
      <c r="Y180" s="261"/>
    </row>
    <row r="181" spans="2:25" outlineLevel="1" x14ac:dyDescent="0.25">
      <c r="B181" s="180"/>
      <c r="C181" s="357"/>
      <c r="D181" s="358"/>
      <c r="E181" s="185">
        <f t="shared" ref="E181:E202" si="14">C181+D181</f>
        <v>0</v>
      </c>
      <c r="F181" s="359"/>
      <c r="G181" s="349"/>
      <c r="H181" s="206"/>
      <c r="I181" s="206"/>
      <c r="J181" s="297">
        <f t="shared" ref="J181:J202" si="15">H181+I181</f>
        <v>0</v>
      </c>
      <c r="K181" s="309"/>
      <c r="L181" s="191"/>
      <c r="M181" s="194" t="str">
        <f t="shared" ref="M181:M202" si="16">IF(AND(G181&gt;0,OR(C181&gt;0,F181&gt;0,H181&gt;0)),(G181-F181)/G181,"")</f>
        <v/>
      </c>
      <c r="N181" s="193" t="str">
        <f t="shared" ref="N181:N202" si="17">IF(G181&gt;0,(IF(C181&gt;0,C181,H181))/G181,"")</f>
        <v/>
      </c>
      <c r="O181" s="195" t="str">
        <f t="shared" ref="O181:O202" si="18">IF(M181=100%,G181-(IF(C181&gt;0,C181,H181)),"")</f>
        <v/>
      </c>
      <c r="P181" s="252"/>
      <c r="Q181" s="466"/>
      <c r="R181" s="467"/>
      <c r="S181" s="467"/>
      <c r="T181" s="468"/>
      <c r="U181" s="261"/>
      <c r="V181" s="261"/>
      <c r="W181" s="261"/>
      <c r="X181" s="262"/>
      <c r="Y181" s="261"/>
    </row>
    <row r="182" spans="2:25" outlineLevel="1" x14ac:dyDescent="0.25">
      <c r="B182" s="180"/>
      <c r="C182" s="357"/>
      <c r="D182" s="358"/>
      <c r="E182" s="185">
        <f t="shared" si="14"/>
        <v>0</v>
      </c>
      <c r="F182" s="359"/>
      <c r="G182" s="349"/>
      <c r="H182" s="206"/>
      <c r="I182" s="206"/>
      <c r="J182" s="297">
        <f t="shared" si="15"/>
        <v>0</v>
      </c>
      <c r="K182" s="309"/>
      <c r="L182" s="191"/>
      <c r="M182" s="194" t="str">
        <f t="shared" si="16"/>
        <v/>
      </c>
      <c r="N182" s="193" t="str">
        <f t="shared" si="17"/>
        <v/>
      </c>
      <c r="O182" s="195" t="str">
        <f t="shared" si="18"/>
        <v/>
      </c>
      <c r="P182" s="252"/>
      <c r="Q182" s="466"/>
      <c r="R182" s="467"/>
      <c r="S182" s="467"/>
      <c r="T182" s="468"/>
      <c r="U182" s="261"/>
      <c r="V182" s="261"/>
      <c r="W182" s="261"/>
      <c r="X182" s="262"/>
      <c r="Y182" s="261"/>
    </row>
    <row r="183" spans="2:25" outlineLevel="1" x14ac:dyDescent="0.25">
      <c r="B183" s="180"/>
      <c r="C183" s="357"/>
      <c r="D183" s="358"/>
      <c r="E183" s="185">
        <f t="shared" si="14"/>
        <v>0</v>
      </c>
      <c r="F183" s="359"/>
      <c r="G183" s="349"/>
      <c r="H183" s="206"/>
      <c r="I183" s="206"/>
      <c r="J183" s="297">
        <f t="shared" si="15"/>
        <v>0</v>
      </c>
      <c r="K183" s="309"/>
      <c r="L183" s="191"/>
      <c r="M183" s="194" t="str">
        <f t="shared" si="16"/>
        <v/>
      </c>
      <c r="N183" s="193" t="str">
        <f t="shared" si="17"/>
        <v/>
      </c>
      <c r="O183" s="195" t="str">
        <f t="shared" si="18"/>
        <v/>
      </c>
      <c r="P183" s="252"/>
      <c r="Q183" s="466"/>
      <c r="R183" s="467"/>
      <c r="S183" s="467"/>
      <c r="T183" s="468"/>
      <c r="U183" s="261"/>
      <c r="V183" s="261"/>
      <c r="W183" s="261"/>
      <c r="X183" s="262"/>
      <c r="Y183" s="261"/>
    </row>
    <row r="184" spans="2:25" outlineLevel="1" x14ac:dyDescent="0.25">
      <c r="B184" s="180"/>
      <c r="C184" s="357"/>
      <c r="D184" s="358"/>
      <c r="E184" s="185">
        <f t="shared" si="14"/>
        <v>0</v>
      </c>
      <c r="F184" s="359"/>
      <c r="G184" s="349"/>
      <c r="H184" s="206"/>
      <c r="I184" s="206"/>
      <c r="J184" s="297">
        <f t="shared" si="15"/>
        <v>0</v>
      </c>
      <c r="K184" s="309"/>
      <c r="L184" s="191"/>
      <c r="M184" s="194" t="str">
        <f t="shared" si="16"/>
        <v/>
      </c>
      <c r="N184" s="193" t="str">
        <f t="shared" si="17"/>
        <v/>
      </c>
      <c r="O184" s="195" t="str">
        <f t="shared" si="18"/>
        <v/>
      </c>
      <c r="P184" s="252"/>
      <c r="Q184" s="466"/>
      <c r="R184" s="467"/>
      <c r="S184" s="467"/>
      <c r="T184" s="468"/>
      <c r="U184" s="261"/>
      <c r="V184" s="261"/>
      <c r="W184" s="261"/>
      <c r="X184" s="262"/>
      <c r="Y184" s="261"/>
    </row>
    <row r="185" spans="2:25" outlineLevel="1" x14ac:dyDescent="0.25">
      <c r="B185" s="180"/>
      <c r="C185" s="357"/>
      <c r="D185" s="358"/>
      <c r="E185" s="185">
        <f t="shared" si="14"/>
        <v>0</v>
      </c>
      <c r="F185" s="359"/>
      <c r="G185" s="349"/>
      <c r="H185" s="206"/>
      <c r="I185" s="206"/>
      <c r="J185" s="297">
        <f t="shared" si="15"/>
        <v>0</v>
      </c>
      <c r="K185" s="309"/>
      <c r="L185" s="191"/>
      <c r="M185" s="194" t="str">
        <f t="shared" si="16"/>
        <v/>
      </c>
      <c r="N185" s="193" t="str">
        <f t="shared" si="17"/>
        <v/>
      </c>
      <c r="O185" s="195" t="str">
        <f t="shared" si="18"/>
        <v/>
      </c>
      <c r="P185" s="252"/>
      <c r="Q185" s="466"/>
      <c r="R185" s="467"/>
      <c r="S185" s="467"/>
      <c r="T185" s="468"/>
      <c r="U185" s="261"/>
      <c r="V185" s="261"/>
      <c r="W185" s="261"/>
      <c r="X185" s="262"/>
      <c r="Y185" s="261"/>
    </row>
    <row r="186" spans="2:25" outlineLevel="1" x14ac:dyDescent="0.25">
      <c r="B186" s="180"/>
      <c r="C186" s="357"/>
      <c r="D186" s="358"/>
      <c r="E186" s="185">
        <f t="shared" si="14"/>
        <v>0</v>
      </c>
      <c r="F186" s="359"/>
      <c r="G186" s="349"/>
      <c r="H186" s="206"/>
      <c r="I186" s="206"/>
      <c r="J186" s="297">
        <f t="shared" si="15"/>
        <v>0</v>
      </c>
      <c r="K186" s="309"/>
      <c r="L186" s="191"/>
      <c r="M186" s="194" t="str">
        <f t="shared" si="16"/>
        <v/>
      </c>
      <c r="N186" s="193" t="str">
        <f t="shared" si="17"/>
        <v/>
      </c>
      <c r="O186" s="195" t="str">
        <f t="shared" si="18"/>
        <v/>
      </c>
      <c r="P186" s="252"/>
      <c r="Q186" s="466"/>
      <c r="R186" s="467"/>
      <c r="S186" s="467"/>
      <c r="T186" s="468"/>
      <c r="U186" s="261"/>
      <c r="V186" s="261"/>
      <c r="W186" s="261"/>
      <c r="X186" s="262"/>
      <c r="Y186" s="261"/>
    </row>
    <row r="187" spans="2:25" outlineLevel="1" x14ac:dyDescent="0.25">
      <c r="B187" s="180"/>
      <c r="C187" s="357"/>
      <c r="D187" s="358"/>
      <c r="E187" s="185">
        <f t="shared" si="14"/>
        <v>0</v>
      </c>
      <c r="F187" s="359"/>
      <c r="G187" s="349"/>
      <c r="H187" s="206"/>
      <c r="I187" s="206"/>
      <c r="J187" s="297">
        <f t="shared" si="15"/>
        <v>0</v>
      </c>
      <c r="K187" s="309"/>
      <c r="L187" s="191"/>
      <c r="M187" s="194" t="str">
        <f t="shared" si="16"/>
        <v/>
      </c>
      <c r="N187" s="193" t="str">
        <f t="shared" si="17"/>
        <v/>
      </c>
      <c r="O187" s="195" t="str">
        <f t="shared" si="18"/>
        <v/>
      </c>
      <c r="P187" s="252"/>
      <c r="Q187" s="466"/>
      <c r="R187" s="467"/>
      <c r="S187" s="467"/>
      <c r="T187" s="468"/>
      <c r="U187" s="261"/>
      <c r="V187" s="261"/>
      <c r="W187" s="261"/>
      <c r="X187" s="262"/>
      <c r="Y187" s="261"/>
    </row>
    <row r="188" spans="2:25" outlineLevel="1" x14ac:dyDescent="0.25">
      <c r="B188" s="180"/>
      <c r="C188" s="357"/>
      <c r="D188" s="358"/>
      <c r="E188" s="185">
        <f t="shared" si="14"/>
        <v>0</v>
      </c>
      <c r="F188" s="359"/>
      <c r="G188" s="349"/>
      <c r="H188" s="206"/>
      <c r="I188" s="206"/>
      <c r="J188" s="297">
        <f t="shared" si="15"/>
        <v>0</v>
      </c>
      <c r="K188" s="309"/>
      <c r="L188" s="191"/>
      <c r="M188" s="194" t="str">
        <f t="shared" si="16"/>
        <v/>
      </c>
      <c r="N188" s="193" t="str">
        <f t="shared" si="17"/>
        <v/>
      </c>
      <c r="O188" s="195" t="str">
        <f t="shared" si="18"/>
        <v/>
      </c>
      <c r="P188" s="252"/>
      <c r="Q188" s="466"/>
      <c r="R188" s="467"/>
      <c r="S188" s="467"/>
      <c r="T188" s="468"/>
      <c r="U188" s="261"/>
      <c r="V188" s="261"/>
      <c r="W188" s="261"/>
      <c r="X188" s="262"/>
      <c r="Y188" s="261"/>
    </row>
    <row r="189" spans="2:25" outlineLevel="1" x14ac:dyDescent="0.25">
      <c r="B189" s="180"/>
      <c r="C189" s="357"/>
      <c r="D189" s="358"/>
      <c r="E189" s="185">
        <f t="shared" si="14"/>
        <v>0</v>
      </c>
      <c r="F189" s="359"/>
      <c r="G189" s="349"/>
      <c r="H189" s="206"/>
      <c r="I189" s="206"/>
      <c r="J189" s="297">
        <f t="shared" si="15"/>
        <v>0</v>
      </c>
      <c r="K189" s="309"/>
      <c r="L189" s="191"/>
      <c r="M189" s="194" t="str">
        <f t="shared" si="16"/>
        <v/>
      </c>
      <c r="N189" s="193" t="str">
        <f t="shared" si="17"/>
        <v/>
      </c>
      <c r="O189" s="195" t="str">
        <f t="shared" si="18"/>
        <v/>
      </c>
      <c r="P189" s="252"/>
      <c r="Q189" s="466"/>
      <c r="R189" s="467"/>
      <c r="S189" s="467"/>
      <c r="T189" s="468"/>
      <c r="U189" s="261"/>
      <c r="V189" s="261"/>
      <c r="W189" s="261"/>
      <c r="X189" s="262"/>
      <c r="Y189" s="261"/>
    </row>
    <row r="190" spans="2:25" outlineLevel="1" x14ac:dyDescent="0.25">
      <c r="B190" s="180"/>
      <c r="C190" s="357"/>
      <c r="D190" s="358"/>
      <c r="E190" s="185">
        <f t="shared" si="14"/>
        <v>0</v>
      </c>
      <c r="F190" s="359"/>
      <c r="G190" s="349"/>
      <c r="H190" s="206"/>
      <c r="I190" s="206"/>
      <c r="J190" s="297">
        <f t="shared" si="15"/>
        <v>0</v>
      </c>
      <c r="K190" s="309"/>
      <c r="L190" s="191"/>
      <c r="M190" s="194" t="str">
        <f t="shared" si="16"/>
        <v/>
      </c>
      <c r="N190" s="193" t="str">
        <f t="shared" si="17"/>
        <v/>
      </c>
      <c r="O190" s="195" t="str">
        <f t="shared" si="18"/>
        <v/>
      </c>
      <c r="P190" s="252"/>
      <c r="Q190" s="466"/>
      <c r="R190" s="467"/>
      <c r="S190" s="467"/>
      <c r="T190" s="468"/>
      <c r="U190" s="261"/>
      <c r="V190" s="261"/>
      <c r="W190" s="261"/>
      <c r="X190" s="262"/>
      <c r="Y190" s="261"/>
    </row>
    <row r="191" spans="2:25" outlineLevel="1" x14ac:dyDescent="0.25">
      <c r="B191" s="180"/>
      <c r="C191" s="357"/>
      <c r="D191" s="358"/>
      <c r="E191" s="185">
        <f t="shared" si="14"/>
        <v>0</v>
      </c>
      <c r="F191" s="359"/>
      <c r="G191" s="349"/>
      <c r="H191" s="206"/>
      <c r="I191" s="206"/>
      <c r="J191" s="297">
        <f t="shared" si="15"/>
        <v>0</v>
      </c>
      <c r="K191" s="309"/>
      <c r="L191" s="191"/>
      <c r="M191" s="194" t="str">
        <f t="shared" si="16"/>
        <v/>
      </c>
      <c r="N191" s="193" t="str">
        <f t="shared" si="17"/>
        <v/>
      </c>
      <c r="O191" s="195" t="str">
        <f t="shared" si="18"/>
        <v/>
      </c>
      <c r="P191" s="252"/>
      <c r="Q191" s="466"/>
      <c r="R191" s="467"/>
      <c r="S191" s="467"/>
      <c r="T191" s="468"/>
      <c r="U191" s="261"/>
      <c r="V191" s="261"/>
      <c r="W191" s="261"/>
      <c r="X191" s="262"/>
      <c r="Y191" s="261"/>
    </row>
    <row r="192" spans="2:25" outlineLevel="1" x14ac:dyDescent="0.25">
      <c r="B192" s="180"/>
      <c r="C192" s="357"/>
      <c r="D192" s="358"/>
      <c r="E192" s="185">
        <f t="shared" si="14"/>
        <v>0</v>
      </c>
      <c r="F192" s="359"/>
      <c r="G192" s="349"/>
      <c r="H192" s="206"/>
      <c r="I192" s="206"/>
      <c r="J192" s="297">
        <f t="shared" si="15"/>
        <v>0</v>
      </c>
      <c r="K192" s="309"/>
      <c r="L192" s="191"/>
      <c r="M192" s="194" t="str">
        <f t="shared" si="16"/>
        <v/>
      </c>
      <c r="N192" s="193" t="str">
        <f t="shared" si="17"/>
        <v/>
      </c>
      <c r="O192" s="195" t="str">
        <f t="shared" si="18"/>
        <v/>
      </c>
      <c r="P192" s="252"/>
      <c r="Q192" s="466"/>
      <c r="R192" s="467"/>
      <c r="S192" s="467"/>
      <c r="T192" s="468"/>
      <c r="U192" s="261"/>
      <c r="V192" s="261"/>
      <c r="W192" s="261"/>
      <c r="X192" s="262"/>
      <c r="Y192" s="261"/>
    </row>
    <row r="193" spans="2:25" outlineLevel="1" x14ac:dyDescent="0.25">
      <c r="B193" s="180"/>
      <c r="C193" s="357"/>
      <c r="D193" s="358"/>
      <c r="E193" s="185">
        <f t="shared" si="14"/>
        <v>0</v>
      </c>
      <c r="F193" s="359"/>
      <c r="G193" s="349"/>
      <c r="H193" s="206"/>
      <c r="I193" s="206"/>
      <c r="J193" s="297">
        <f t="shared" si="15"/>
        <v>0</v>
      </c>
      <c r="K193" s="309"/>
      <c r="L193" s="191"/>
      <c r="M193" s="194" t="str">
        <f t="shared" si="16"/>
        <v/>
      </c>
      <c r="N193" s="193" t="str">
        <f t="shared" si="17"/>
        <v/>
      </c>
      <c r="O193" s="195" t="str">
        <f t="shared" si="18"/>
        <v/>
      </c>
      <c r="P193" s="252"/>
      <c r="Q193" s="466"/>
      <c r="R193" s="467"/>
      <c r="S193" s="467"/>
      <c r="T193" s="468"/>
      <c r="U193" s="261"/>
      <c r="V193" s="261"/>
      <c r="W193" s="261"/>
      <c r="X193" s="262"/>
      <c r="Y193" s="261"/>
    </row>
    <row r="194" spans="2:25" outlineLevel="1" x14ac:dyDescent="0.25">
      <c r="B194" s="180"/>
      <c r="C194" s="357"/>
      <c r="D194" s="358"/>
      <c r="E194" s="185">
        <f t="shared" si="14"/>
        <v>0</v>
      </c>
      <c r="F194" s="359"/>
      <c r="G194" s="349"/>
      <c r="H194" s="206"/>
      <c r="I194" s="206"/>
      <c r="J194" s="297">
        <f t="shared" si="15"/>
        <v>0</v>
      </c>
      <c r="K194" s="309"/>
      <c r="L194" s="191"/>
      <c r="M194" s="194" t="str">
        <f t="shared" si="16"/>
        <v/>
      </c>
      <c r="N194" s="193" t="str">
        <f t="shared" si="17"/>
        <v/>
      </c>
      <c r="O194" s="195" t="str">
        <f t="shared" si="18"/>
        <v/>
      </c>
      <c r="P194" s="252"/>
      <c r="Q194" s="466"/>
      <c r="R194" s="467"/>
      <c r="S194" s="467"/>
      <c r="T194" s="468"/>
      <c r="U194" s="261"/>
      <c r="V194" s="261"/>
      <c r="W194" s="261"/>
      <c r="X194" s="262"/>
      <c r="Y194" s="261"/>
    </row>
    <row r="195" spans="2:25" outlineLevel="1" x14ac:dyDescent="0.25">
      <c r="B195" s="180"/>
      <c r="C195" s="357"/>
      <c r="D195" s="358"/>
      <c r="E195" s="185">
        <f t="shared" si="14"/>
        <v>0</v>
      </c>
      <c r="F195" s="359"/>
      <c r="G195" s="349"/>
      <c r="H195" s="206"/>
      <c r="I195" s="206"/>
      <c r="J195" s="297">
        <f t="shared" si="15"/>
        <v>0</v>
      </c>
      <c r="K195" s="309"/>
      <c r="L195" s="191"/>
      <c r="M195" s="194" t="str">
        <f t="shared" si="16"/>
        <v/>
      </c>
      <c r="N195" s="193" t="str">
        <f t="shared" si="17"/>
        <v/>
      </c>
      <c r="O195" s="195" t="str">
        <f t="shared" si="18"/>
        <v/>
      </c>
      <c r="P195" s="252"/>
      <c r="Q195" s="466"/>
      <c r="R195" s="467"/>
      <c r="S195" s="467"/>
      <c r="T195" s="468"/>
      <c r="U195" s="261"/>
      <c r="V195" s="261"/>
      <c r="W195" s="261"/>
      <c r="X195" s="262"/>
      <c r="Y195" s="261"/>
    </row>
    <row r="196" spans="2:25" outlineLevel="1" x14ac:dyDescent="0.25">
      <c r="B196" s="180"/>
      <c r="C196" s="357"/>
      <c r="D196" s="358"/>
      <c r="E196" s="185">
        <f t="shared" si="14"/>
        <v>0</v>
      </c>
      <c r="F196" s="359"/>
      <c r="G196" s="349"/>
      <c r="H196" s="206"/>
      <c r="I196" s="206"/>
      <c r="J196" s="297">
        <f t="shared" si="15"/>
        <v>0</v>
      </c>
      <c r="K196" s="309"/>
      <c r="L196" s="191"/>
      <c r="M196" s="194" t="str">
        <f t="shared" si="16"/>
        <v/>
      </c>
      <c r="N196" s="193" t="str">
        <f t="shared" si="17"/>
        <v/>
      </c>
      <c r="O196" s="195" t="str">
        <f t="shared" si="18"/>
        <v/>
      </c>
      <c r="P196" s="252"/>
      <c r="Q196" s="466"/>
      <c r="R196" s="467"/>
      <c r="S196" s="467"/>
      <c r="T196" s="468"/>
      <c r="U196" s="261"/>
      <c r="V196" s="261"/>
      <c r="W196" s="261"/>
      <c r="X196" s="262"/>
      <c r="Y196" s="261"/>
    </row>
    <row r="197" spans="2:25" outlineLevel="1" x14ac:dyDescent="0.25">
      <c r="B197" s="180"/>
      <c r="C197" s="357"/>
      <c r="D197" s="358"/>
      <c r="E197" s="185">
        <f t="shared" si="14"/>
        <v>0</v>
      </c>
      <c r="F197" s="359"/>
      <c r="G197" s="349"/>
      <c r="H197" s="206"/>
      <c r="I197" s="206"/>
      <c r="J197" s="297">
        <f t="shared" si="15"/>
        <v>0</v>
      </c>
      <c r="K197" s="309"/>
      <c r="L197" s="191"/>
      <c r="M197" s="194" t="str">
        <f t="shared" si="16"/>
        <v/>
      </c>
      <c r="N197" s="193" t="str">
        <f t="shared" si="17"/>
        <v/>
      </c>
      <c r="O197" s="195" t="str">
        <f t="shared" si="18"/>
        <v/>
      </c>
      <c r="P197" s="252"/>
      <c r="Q197" s="466"/>
      <c r="R197" s="467"/>
      <c r="S197" s="467"/>
      <c r="T197" s="468"/>
      <c r="U197" s="261"/>
      <c r="V197" s="261"/>
      <c r="W197" s="261"/>
      <c r="X197" s="262"/>
      <c r="Y197" s="261"/>
    </row>
    <row r="198" spans="2:25" outlineLevel="1" x14ac:dyDescent="0.25">
      <c r="B198" s="180"/>
      <c r="C198" s="357"/>
      <c r="D198" s="358"/>
      <c r="E198" s="185">
        <f t="shared" si="14"/>
        <v>0</v>
      </c>
      <c r="F198" s="359"/>
      <c r="G198" s="349"/>
      <c r="H198" s="206"/>
      <c r="I198" s="206"/>
      <c r="J198" s="297">
        <f t="shared" si="15"/>
        <v>0</v>
      </c>
      <c r="K198" s="309"/>
      <c r="L198" s="191"/>
      <c r="M198" s="194" t="str">
        <f t="shared" si="16"/>
        <v/>
      </c>
      <c r="N198" s="193" t="str">
        <f t="shared" si="17"/>
        <v/>
      </c>
      <c r="O198" s="195" t="str">
        <f t="shared" si="18"/>
        <v/>
      </c>
      <c r="P198" s="252"/>
      <c r="Q198" s="466"/>
      <c r="R198" s="467"/>
      <c r="S198" s="467"/>
      <c r="T198" s="468"/>
      <c r="U198" s="261"/>
      <c r="V198" s="261"/>
      <c r="W198" s="261"/>
      <c r="X198" s="262"/>
      <c r="Y198" s="261"/>
    </row>
    <row r="199" spans="2:25" outlineLevel="1" x14ac:dyDescent="0.25">
      <c r="B199" s="180"/>
      <c r="C199" s="357"/>
      <c r="D199" s="358"/>
      <c r="E199" s="185">
        <f t="shared" si="14"/>
        <v>0</v>
      </c>
      <c r="F199" s="359"/>
      <c r="G199" s="349"/>
      <c r="H199" s="206"/>
      <c r="I199" s="206"/>
      <c r="J199" s="297">
        <f t="shared" si="15"/>
        <v>0</v>
      </c>
      <c r="K199" s="309"/>
      <c r="L199" s="191"/>
      <c r="M199" s="194" t="str">
        <f t="shared" si="16"/>
        <v/>
      </c>
      <c r="N199" s="193" t="str">
        <f t="shared" si="17"/>
        <v/>
      </c>
      <c r="O199" s="195" t="str">
        <f t="shared" si="18"/>
        <v/>
      </c>
      <c r="P199" s="252"/>
      <c r="Q199" s="466"/>
      <c r="R199" s="467"/>
      <c r="S199" s="467"/>
      <c r="T199" s="468"/>
      <c r="U199" s="261"/>
      <c r="V199" s="261"/>
      <c r="W199" s="261"/>
      <c r="X199" s="262"/>
      <c r="Y199" s="261"/>
    </row>
    <row r="200" spans="2:25" outlineLevel="1" x14ac:dyDescent="0.25">
      <c r="B200" s="180"/>
      <c r="C200" s="357"/>
      <c r="D200" s="358"/>
      <c r="E200" s="185">
        <f t="shared" si="14"/>
        <v>0</v>
      </c>
      <c r="F200" s="359"/>
      <c r="G200" s="349"/>
      <c r="H200" s="206"/>
      <c r="I200" s="206"/>
      <c r="J200" s="297">
        <f t="shared" si="15"/>
        <v>0</v>
      </c>
      <c r="K200" s="309"/>
      <c r="L200" s="191"/>
      <c r="M200" s="194" t="str">
        <f t="shared" si="16"/>
        <v/>
      </c>
      <c r="N200" s="193" t="str">
        <f t="shared" si="17"/>
        <v/>
      </c>
      <c r="O200" s="195" t="str">
        <f t="shared" si="18"/>
        <v/>
      </c>
      <c r="P200" s="252"/>
      <c r="Q200" s="466"/>
      <c r="R200" s="467"/>
      <c r="S200" s="467"/>
      <c r="T200" s="468"/>
      <c r="U200" s="261"/>
      <c r="V200" s="261"/>
      <c r="W200" s="261"/>
      <c r="X200" s="262"/>
      <c r="Y200" s="261"/>
    </row>
    <row r="201" spans="2:25" outlineLevel="1" x14ac:dyDescent="0.25">
      <c r="B201" s="180"/>
      <c r="C201" s="357"/>
      <c r="D201" s="358"/>
      <c r="E201" s="185">
        <f t="shared" si="14"/>
        <v>0</v>
      </c>
      <c r="F201" s="359"/>
      <c r="G201" s="349"/>
      <c r="H201" s="206"/>
      <c r="I201" s="206"/>
      <c r="J201" s="297">
        <f t="shared" si="15"/>
        <v>0</v>
      </c>
      <c r="K201" s="309"/>
      <c r="L201" s="191"/>
      <c r="M201" s="194" t="str">
        <f t="shared" si="16"/>
        <v/>
      </c>
      <c r="N201" s="193" t="str">
        <f t="shared" si="17"/>
        <v/>
      </c>
      <c r="O201" s="195" t="str">
        <f t="shared" si="18"/>
        <v/>
      </c>
      <c r="P201" s="252"/>
      <c r="Q201" s="466"/>
      <c r="R201" s="467"/>
      <c r="S201" s="467"/>
      <c r="T201" s="468"/>
      <c r="U201" s="261"/>
      <c r="V201" s="261"/>
      <c r="W201" s="261"/>
      <c r="X201" s="262"/>
      <c r="Y201" s="261"/>
    </row>
    <row r="202" spans="2:25" ht="15.75" outlineLevel="1" thickBot="1" x14ac:dyDescent="0.3">
      <c r="B202" s="180"/>
      <c r="C202" s="360"/>
      <c r="D202" s="361"/>
      <c r="E202" s="342">
        <f t="shared" si="14"/>
        <v>0</v>
      </c>
      <c r="F202" s="362"/>
      <c r="G202" s="349"/>
      <c r="H202" s="206"/>
      <c r="I202" s="206"/>
      <c r="J202" s="297">
        <f t="shared" si="15"/>
        <v>0</v>
      </c>
      <c r="K202" s="309"/>
      <c r="L202" s="191"/>
      <c r="M202" s="194" t="str">
        <f t="shared" si="16"/>
        <v/>
      </c>
      <c r="N202" s="193" t="str">
        <f t="shared" si="17"/>
        <v/>
      </c>
      <c r="O202" s="195" t="str">
        <f t="shared" si="18"/>
        <v/>
      </c>
      <c r="P202" s="252">
        <v>41045</v>
      </c>
      <c r="Q202" s="469"/>
      <c r="R202" s="470"/>
      <c r="S202" s="470"/>
      <c r="T202" s="471"/>
      <c r="U202" s="261"/>
      <c r="V202" s="261"/>
      <c r="W202" s="261"/>
      <c r="X202" s="262"/>
      <c r="Y202" s="261"/>
    </row>
    <row r="203" spans="2:25" x14ac:dyDescent="0.25">
      <c r="B203" s="128"/>
      <c r="C203" s="278" t="s">
        <v>158</v>
      </c>
      <c r="D203" s="278" t="s">
        <v>159</v>
      </c>
      <c r="E203" s="278" t="s">
        <v>160</v>
      </c>
      <c r="F203" s="279"/>
      <c r="G203" s="280"/>
      <c r="H203" s="210"/>
      <c r="I203" s="211"/>
      <c r="J203" s="272"/>
      <c r="K203" s="273"/>
      <c r="L203" s="273"/>
      <c r="M203" s="281"/>
      <c r="N203" s="282"/>
      <c r="O203" s="283"/>
    </row>
    <row r="204" spans="2:25" ht="15.75" thickBot="1" x14ac:dyDescent="0.3">
      <c r="B204" s="129"/>
      <c r="C204" s="131">
        <f t="shared" ref="C204:J204" si="19">SUM(C52:C202)</f>
        <v>751.32420000000002</v>
      </c>
      <c r="D204" s="131">
        <f t="shared" si="19"/>
        <v>583.04359999999997</v>
      </c>
      <c r="E204" s="131">
        <f t="shared" si="19"/>
        <v>1334.3678000000002</v>
      </c>
      <c r="F204" s="189">
        <f t="shared" si="19"/>
        <v>1640.9190999999998</v>
      </c>
      <c r="G204" s="192">
        <f t="shared" si="19"/>
        <v>9392.2170000000024</v>
      </c>
      <c r="H204" s="213">
        <f t="shared" si="19"/>
        <v>8488.6298999999999</v>
      </c>
      <c r="I204" s="214">
        <f t="shared" si="19"/>
        <v>4527.4724999999989</v>
      </c>
      <c r="J204" s="274">
        <f t="shared" si="19"/>
        <v>13016.1024</v>
      </c>
      <c r="K204" s="275"/>
      <c r="L204" s="275"/>
      <c r="M204" s="201">
        <f>(G204-F204)/G204</f>
        <v>0.82528948170596994</v>
      </c>
      <c r="N204" s="200">
        <f>(C204+H204)/G204</f>
        <v>0.98378839628598835</v>
      </c>
      <c r="O204" s="199">
        <f>SUM(O36:O202)</f>
        <v>-993.96129999999994</v>
      </c>
    </row>
    <row r="205" spans="2:25" ht="15.75" customHeight="1" thickBot="1" x14ac:dyDescent="0.3"/>
    <row r="206" spans="2:25" ht="15.75" customHeight="1" x14ac:dyDescent="0.25">
      <c r="B206" s="124"/>
      <c r="C206" s="68"/>
      <c r="D206" s="68"/>
      <c r="E206" s="127"/>
      <c r="F206" s="68"/>
      <c r="G206" s="68"/>
      <c r="H206" s="68"/>
      <c r="I206" s="68"/>
      <c r="J206" s="125"/>
      <c r="K206" s="305"/>
      <c r="M206" s="463" t="s">
        <v>161</v>
      </c>
      <c r="N206" s="464"/>
      <c r="O206" s="464"/>
      <c r="P206" s="464"/>
      <c r="Q206" s="465"/>
    </row>
    <row r="207" spans="2:25" ht="15.75" thickBot="1" x14ac:dyDescent="0.3">
      <c r="B207" s="67" t="s">
        <v>162</v>
      </c>
      <c r="C207" s="141" t="s">
        <v>163</v>
      </c>
      <c r="D207" s="155"/>
      <c r="E207" s="141" t="s">
        <v>113</v>
      </c>
      <c r="F207" s="142" t="s">
        <v>164</v>
      </c>
      <c r="G207" s="143" t="s">
        <v>119</v>
      </c>
      <c r="H207" s="123"/>
      <c r="I207" s="123"/>
      <c r="J207" s="126"/>
      <c r="K207" s="305"/>
      <c r="M207" s="466"/>
      <c r="N207" s="467"/>
      <c r="O207" s="467"/>
      <c r="P207" s="467"/>
      <c r="Q207" s="468"/>
    </row>
    <row r="208" spans="2:25" x14ac:dyDescent="0.25">
      <c r="B208" s="72"/>
      <c r="C208" s="88"/>
      <c r="D208" s="89"/>
      <c r="E208" s="96"/>
      <c r="F208" s="72"/>
      <c r="G208" s="493"/>
      <c r="H208" s="493"/>
      <c r="I208" s="493"/>
      <c r="J208" s="494"/>
      <c r="K208" s="306"/>
      <c r="M208" s="466"/>
      <c r="N208" s="467"/>
      <c r="O208" s="467"/>
      <c r="P208" s="467"/>
      <c r="Q208" s="468"/>
    </row>
    <row r="209" spans="1:18" x14ac:dyDescent="0.25">
      <c r="B209" s="58"/>
      <c r="C209" s="59"/>
      <c r="D209" s="59"/>
      <c r="E209" s="60"/>
      <c r="F209" s="58"/>
      <c r="G209" s="482"/>
      <c r="H209" s="482"/>
      <c r="I209" s="482"/>
      <c r="J209" s="483"/>
      <c r="K209" s="306"/>
      <c r="M209" s="466"/>
      <c r="N209" s="467"/>
      <c r="O209" s="467"/>
      <c r="P209" s="467"/>
      <c r="Q209" s="468"/>
      <c r="R209" s="258"/>
    </row>
    <row r="210" spans="1:18" x14ac:dyDescent="0.25">
      <c r="B210" s="58"/>
      <c r="C210" s="59"/>
      <c r="D210" s="59"/>
      <c r="E210" s="60"/>
      <c r="F210" s="58"/>
      <c r="G210" s="482"/>
      <c r="H210" s="482"/>
      <c r="I210" s="482"/>
      <c r="J210" s="483"/>
      <c r="K210" s="306"/>
      <c r="M210" s="466"/>
      <c r="N210" s="467"/>
      <c r="O210" s="467"/>
      <c r="P210" s="467"/>
      <c r="Q210" s="468"/>
      <c r="R210" s="258"/>
    </row>
    <row r="211" spans="1:18" x14ac:dyDescent="0.25">
      <c r="B211" s="58"/>
      <c r="C211" s="59"/>
      <c r="D211" s="59"/>
      <c r="E211" s="60"/>
      <c r="F211" s="58"/>
      <c r="G211" s="482"/>
      <c r="H211" s="482"/>
      <c r="I211" s="482"/>
      <c r="J211" s="483"/>
      <c r="K211" s="306"/>
      <c r="M211" s="466"/>
      <c r="N211" s="467"/>
      <c r="O211" s="467"/>
      <c r="P211" s="467"/>
      <c r="Q211" s="468"/>
      <c r="R211" s="258"/>
    </row>
    <row r="212" spans="1:18" x14ac:dyDescent="0.25">
      <c r="B212" s="58"/>
      <c r="C212" s="59"/>
      <c r="D212" s="59"/>
      <c r="E212" s="60"/>
      <c r="F212" s="58"/>
      <c r="G212" s="482"/>
      <c r="H212" s="482"/>
      <c r="I212" s="482"/>
      <c r="J212" s="483"/>
      <c r="K212" s="306"/>
      <c r="M212" s="466"/>
      <c r="N212" s="467"/>
      <c r="O212" s="467"/>
      <c r="P212" s="467"/>
      <c r="Q212" s="468"/>
      <c r="R212" s="258"/>
    </row>
    <row r="213" spans="1:18" x14ac:dyDescent="0.25">
      <c r="B213" s="58"/>
      <c r="C213" s="59"/>
      <c r="D213" s="59"/>
      <c r="E213" s="60"/>
      <c r="F213" s="58"/>
      <c r="G213" s="482"/>
      <c r="H213" s="482"/>
      <c r="I213" s="482"/>
      <c r="J213" s="483"/>
      <c r="K213" s="306"/>
      <c r="M213" s="466"/>
      <c r="N213" s="467"/>
      <c r="O213" s="467"/>
      <c r="P213" s="467"/>
      <c r="Q213" s="468"/>
      <c r="R213" s="258"/>
    </row>
    <row r="214" spans="1:18" x14ac:dyDescent="0.25">
      <c r="B214" s="61"/>
      <c r="C214" s="62"/>
      <c r="D214" s="62"/>
      <c r="E214" s="63"/>
      <c r="F214" s="61"/>
      <c r="G214" s="482"/>
      <c r="H214" s="482"/>
      <c r="I214" s="482"/>
      <c r="J214" s="483"/>
      <c r="K214" s="306"/>
      <c r="M214" s="466"/>
      <c r="N214" s="467"/>
      <c r="O214" s="467"/>
      <c r="P214" s="467"/>
      <c r="Q214" s="468"/>
      <c r="R214" s="258"/>
    </row>
    <row r="215" spans="1:18" ht="15.75" thickBot="1" x14ac:dyDescent="0.3">
      <c r="B215" s="64"/>
      <c r="C215" s="65"/>
      <c r="D215" s="65"/>
      <c r="E215" s="66"/>
      <c r="F215" s="61"/>
      <c r="G215" s="539"/>
      <c r="H215" s="539"/>
      <c r="I215" s="539"/>
      <c r="J215" s="540"/>
      <c r="K215" s="306"/>
      <c r="M215" s="466"/>
      <c r="N215" s="467"/>
      <c r="O215" s="467"/>
      <c r="P215" s="467"/>
      <c r="Q215" s="468"/>
      <c r="R215" s="258"/>
    </row>
    <row r="216" spans="1:18" ht="15.75" thickBot="1" x14ac:dyDescent="0.3">
      <c r="C216" s="67" t="s">
        <v>78</v>
      </c>
      <c r="D216" s="242"/>
      <c r="E216" s="268">
        <f>+SUM(E208:E215)</f>
        <v>0</v>
      </c>
      <c r="F216" s="269" t="s">
        <v>165</v>
      </c>
      <c r="G216" s="541"/>
      <c r="H216" s="541"/>
      <c r="I216" s="541"/>
      <c r="J216" s="542"/>
      <c r="K216" s="307"/>
      <c r="M216" s="469"/>
      <c r="N216" s="470"/>
      <c r="O216" s="470"/>
      <c r="P216" s="470"/>
      <c r="Q216" s="471"/>
      <c r="R216" s="258"/>
    </row>
    <row r="217" spans="1:18" ht="15.75" thickBot="1" x14ac:dyDescent="0.3"/>
    <row r="218" spans="1:18" x14ac:dyDescent="0.25">
      <c r="B218" s="14" t="s">
        <v>166</v>
      </c>
      <c r="C218" s="6" t="s">
        <v>76</v>
      </c>
      <c r="D218" s="6" t="s">
        <v>77</v>
      </c>
      <c r="E218" s="15" t="s">
        <v>167</v>
      </c>
      <c r="M218" s="463" t="s">
        <v>168</v>
      </c>
      <c r="N218" s="464"/>
      <c r="O218" s="464"/>
      <c r="P218" s="464"/>
      <c r="Q218" s="465"/>
      <c r="R218" s="258"/>
    </row>
    <row r="219" spans="1:18" x14ac:dyDescent="0.25">
      <c r="A219" s="130" t="s">
        <v>123</v>
      </c>
      <c r="B219" s="16" t="s">
        <v>169</v>
      </c>
      <c r="C219" s="3">
        <f>E220</f>
        <v>18474.366300000002</v>
      </c>
      <c r="D219" s="3">
        <f>F48</f>
        <v>0</v>
      </c>
      <c r="E219" s="17">
        <f>C219-D219</f>
        <v>18474.366300000002</v>
      </c>
      <c r="M219" s="466"/>
      <c r="N219" s="467"/>
      <c r="O219" s="467"/>
      <c r="P219" s="467"/>
      <c r="Q219" s="468"/>
      <c r="R219" s="258"/>
    </row>
    <row r="220" spans="1:18" x14ac:dyDescent="0.25">
      <c r="A220" s="130" t="s">
        <v>159</v>
      </c>
      <c r="B220" s="16" t="s">
        <v>170</v>
      </c>
      <c r="C220" s="3">
        <f>I24</f>
        <v>10568.78</v>
      </c>
      <c r="D220" s="3">
        <f>D204-H204</f>
        <v>-7905.5862999999999</v>
      </c>
      <c r="E220" s="17">
        <f>C220-D220</f>
        <v>18474.366300000002</v>
      </c>
      <c r="M220" s="466"/>
      <c r="N220" s="467"/>
      <c r="O220" s="467"/>
      <c r="P220" s="467"/>
      <c r="Q220" s="468"/>
      <c r="R220" s="258"/>
    </row>
    <row r="221" spans="1:18" x14ac:dyDescent="0.25">
      <c r="A221" s="130" t="s">
        <v>158</v>
      </c>
      <c r="B221" s="16" t="s">
        <v>171</v>
      </c>
      <c r="C221" s="3">
        <f>H24</f>
        <v>2096.5</v>
      </c>
      <c r="D221" s="3">
        <f>C204+H204</f>
        <v>9239.954099999999</v>
      </c>
      <c r="E221" s="17">
        <f>C221-D221</f>
        <v>-7143.454099999999</v>
      </c>
      <c r="M221" s="466"/>
      <c r="N221" s="467"/>
      <c r="O221" s="467"/>
      <c r="P221" s="467"/>
      <c r="Q221" s="468"/>
      <c r="R221" s="258"/>
    </row>
    <row r="222" spans="1:18" x14ac:dyDescent="0.25">
      <c r="A222" s="130" t="s">
        <v>114</v>
      </c>
      <c r="B222" s="16" t="s">
        <v>55</v>
      </c>
      <c r="C222" s="3">
        <f>D24</f>
        <v>250</v>
      </c>
      <c r="D222" s="3">
        <f>C29</f>
        <v>0</v>
      </c>
      <c r="E222" s="17">
        <f>C222-D222</f>
        <v>250</v>
      </c>
      <c r="M222" s="466"/>
      <c r="N222" s="467"/>
      <c r="O222" s="467"/>
      <c r="P222" s="467"/>
      <c r="Q222" s="468"/>
      <c r="R222" s="258"/>
    </row>
    <row r="223" spans="1:18" x14ac:dyDescent="0.25">
      <c r="A223" s="130" t="s">
        <v>115</v>
      </c>
      <c r="B223" s="16" t="s">
        <v>79</v>
      </c>
      <c r="C223" s="3">
        <f>F24</f>
        <v>1000</v>
      </c>
      <c r="D223" s="3">
        <f>E29</f>
        <v>1735.75</v>
      </c>
      <c r="E223" s="17">
        <f>C223-D223</f>
        <v>-735.75</v>
      </c>
      <c r="M223" s="466"/>
      <c r="N223" s="467"/>
      <c r="O223" s="467"/>
      <c r="P223" s="467"/>
      <c r="Q223" s="468"/>
      <c r="R223" s="258"/>
    </row>
    <row r="224" spans="1:18" ht="15.75" thickBot="1" x14ac:dyDescent="0.3">
      <c r="A224" s="130" t="s">
        <v>165</v>
      </c>
      <c r="B224" s="16" t="s">
        <v>172</v>
      </c>
      <c r="C224" s="3">
        <v>0</v>
      </c>
      <c r="D224" s="69">
        <f>+E216</f>
        <v>0</v>
      </c>
      <c r="E224" s="17"/>
      <c r="M224" s="466"/>
      <c r="N224" s="467"/>
      <c r="O224" s="467"/>
      <c r="P224" s="467"/>
      <c r="Q224" s="468"/>
      <c r="R224" s="258"/>
    </row>
    <row r="225" spans="2:18" ht="15.75" thickBot="1" x14ac:dyDescent="0.3">
      <c r="B225" s="247" t="s">
        <v>78</v>
      </c>
      <c r="C225" s="248">
        <f>SUM(C220:C223)</f>
        <v>13915.28</v>
      </c>
      <c r="D225" s="248">
        <f>SUM(D219:D224)</f>
        <v>3070.1177999999991</v>
      </c>
      <c r="E225" s="249">
        <f>E223+E222+E221+E219</f>
        <v>10845.162200000002</v>
      </c>
      <c r="M225" s="466"/>
      <c r="N225" s="467"/>
      <c r="O225" s="467"/>
      <c r="P225" s="467"/>
      <c r="Q225" s="468"/>
      <c r="R225" s="258"/>
    </row>
    <row r="226" spans="2:18" x14ac:dyDescent="0.25">
      <c r="B226" s="28" t="s">
        <v>173</v>
      </c>
      <c r="C226" s="245"/>
      <c r="D226" s="246">
        <f>+C226*50</f>
        <v>0</v>
      </c>
      <c r="E226" s="150"/>
      <c r="G226" s="508" t="s">
        <v>174</v>
      </c>
      <c r="H226" s="509"/>
      <c r="I226" s="510"/>
      <c r="M226" s="466"/>
      <c r="N226" s="467"/>
      <c r="O226" s="467"/>
      <c r="P226" s="467"/>
      <c r="Q226" s="468"/>
      <c r="R226" s="258"/>
    </row>
    <row r="227" spans="2:18" x14ac:dyDescent="0.25">
      <c r="B227" s="28" t="s">
        <v>175</v>
      </c>
      <c r="C227" s="135"/>
      <c r="D227" s="154">
        <f>+C227*50</f>
        <v>0</v>
      </c>
      <c r="E227" s="150"/>
      <c r="G227" s="511"/>
      <c r="H227" s="512"/>
      <c r="I227" s="513"/>
      <c r="M227" s="466"/>
      <c r="N227" s="467"/>
      <c r="O227" s="467"/>
      <c r="P227" s="467"/>
      <c r="Q227" s="468"/>
      <c r="R227" s="258"/>
    </row>
    <row r="228" spans="2:18" x14ac:dyDescent="0.25">
      <c r="B228" s="16" t="s">
        <v>176</v>
      </c>
      <c r="D228" s="183">
        <f>F204</f>
        <v>1640.9190999999998</v>
      </c>
      <c r="E228" s="151"/>
      <c r="G228" s="511"/>
      <c r="H228" s="512"/>
      <c r="I228" s="513"/>
      <c r="M228" s="466"/>
      <c r="N228" s="467"/>
      <c r="O228" s="467"/>
      <c r="P228" s="467"/>
      <c r="Q228" s="468"/>
      <c r="R228" s="258"/>
    </row>
    <row r="229" spans="2:18" ht="15.75" thickBot="1" x14ac:dyDescent="0.3">
      <c r="B229" s="16" t="s">
        <v>177</v>
      </c>
      <c r="D229" s="144">
        <v>0</v>
      </c>
      <c r="E229" s="152"/>
      <c r="G229" s="514"/>
      <c r="H229" s="515"/>
      <c r="I229" s="516"/>
      <c r="M229" s="466"/>
      <c r="N229" s="467"/>
      <c r="O229" s="467"/>
      <c r="P229" s="467"/>
      <c r="Q229" s="468"/>
      <c r="R229" s="258"/>
    </row>
    <row r="230" spans="2:18" ht="15.75" thickBot="1" x14ac:dyDescent="0.3">
      <c r="B230" s="90" t="s">
        <v>62</v>
      </c>
      <c r="C230" s="93">
        <f>J24</f>
        <v>13915.28</v>
      </c>
      <c r="D230" s="93">
        <f>D229+D225+D228+D227+D226</f>
        <v>4711.0368999999992</v>
      </c>
      <c r="E230" s="91">
        <f>C230-D230</f>
        <v>9204.2431000000015</v>
      </c>
      <c r="M230" s="466"/>
      <c r="N230" s="467"/>
      <c r="O230" s="467"/>
      <c r="P230" s="467"/>
      <c r="Q230" s="468"/>
      <c r="R230" s="258"/>
    </row>
    <row r="231" spans="2:18" ht="15.75" thickBot="1" x14ac:dyDescent="0.3">
      <c r="B231" s="92" t="s">
        <v>178</v>
      </c>
      <c r="C231" s="94">
        <f>F4</f>
        <v>27274.5</v>
      </c>
      <c r="D231" s="95">
        <f>C231-D230</f>
        <v>22563.463100000001</v>
      </c>
      <c r="E231" s="22">
        <f>D230/C230</f>
        <v>0.33855135505717449</v>
      </c>
      <c r="M231" s="469"/>
      <c r="N231" s="470"/>
      <c r="O231" s="470"/>
      <c r="P231" s="470"/>
      <c r="Q231" s="471"/>
      <c r="R231" s="258"/>
    </row>
    <row r="232" spans="2:18" x14ac:dyDescent="0.25">
      <c r="D232" s="25"/>
    </row>
    <row r="233" spans="2:18" ht="23.25" x14ac:dyDescent="0.35">
      <c r="D233" s="23" t="s">
        <v>179</v>
      </c>
      <c r="E233" s="24">
        <f>(C231-(D230*1.05))/C231</f>
        <v>0.81863686795358304</v>
      </c>
    </row>
    <row r="238" spans="2:18" x14ac:dyDescent="0.25">
      <c r="E238"/>
    </row>
    <row r="239" spans="2:18" x14ac:dyDescent="0.25">
      <c r="E239"/>
    </row>
    <row r="240" spans="2:18" x14ac:dyDescent="0.25">
      <c r="E240"/>
    </row>
    <row r="241" spans="5:5" x14ac:dyDescent="0.25">
      <c r="E241"/>
    </row>
  </sheetData>
  <protectedRanges>
    <protectedRange sqref="B208:L208" name="Bereich1"/>
    <protectedRange sqref="N214" name="Bereich1_1"/>
  </protectedRanges>
  <mergeCells count="52">
    <mergeCell ref="M218:Q231"/>
    <mergeCell ref="G226:I229"/>
    <mergeCell ref="M206:Q216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B49:J49"/>
    <mergeCell ref="Q49:Y49"/>
    <mergeCell ref="C50:F50"/>
    <mergeCell ref="H50:J50"/>
    <mergeCell ref="M50:O50"/>
    <mergeCell ref="Q50:T202"/>
    <mergeCell ref="U50:V50"/>
    <mergeCell ref="W50:Z5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G12:H12"/>
    <mergeCell ref="J12:J13"/>
    <mergeCell ref="M17:R19"/>
    <mergeCell ref="M21:R38"/>
    <mergeCell ref="F26:G26"/>
    <mergeCell ref="D31:E31"/>
    <mergeCell ref="D32:E32"/>
    <mergeCell ref="D33:E33"/>
    <mergeCell ref="D34:E34"/>
    <mergeCell ref="D35:E35"/>
    <mergeCell ref="B2:J2"/>
    <mergeCell ref="M2:R15"/>
    <mergeCell ref="C6:J6"/>
    <mergeCell ref="C7:J7"/>
    <mergeCell ref="C8:J8"/>
    <mergeCell ref="C9:J9"/>
    <mergeCell ref="B11:J11"/>
    <mergeCell ref="B12:B13"/>
    <mergeCell ref="C12:D12"/>
    <mergeCell ref="E12:F12"/>
  </mergeCells>
  <conditionalFormatting sqref="E231">
    <cfRule type="colorScale" priority="16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E233">
    <cfRule type="cellIs" dxfId="13" priority="13" stopIfTrue="1" operator="lessThanOrEqual">
      <formula>0.2</formula>
    </cfRule>
    <cfRule type="cellIs" dxfId="12" priority="14" operator="lessThanOrEqual">
      <formula>0.28</formula>
    </cfRule>
    <cfRule type="cellIs" dxfId="11" priority="15" operator="greaterThan">
      <formula>0.28</formula>
    </cfRule>
  </conditionalFormatting>
  <conditionalFormatting sqref="F52:F202">
    <cfRule type="expression" dxfId="10" priority="12">
      <formula>$F52&gt;$G52</formula>
    </cfRule>
  </conditionalFormatting>
  <conditionalFormatting sqref="H4">
    <cfRule type="expression" dxfId="9" priority="10">
      <formula>$H$4&gt;$G$4</formula>
    </cfRule>
    <cfRule type="expression" dxfId="8" priority="11">
      <formula>$H$4&lt;=$G$4</formula>
    </cfRule>
  </conditionalFormatting>
  <conditionalFormatting sqref="I4">
    <cfRule type="colorScale" priority="9">
      <colorScale>
        <cfvo type="num" val="0.7"/>
        <cfvo type="num" val="0.8"/>
        <cfvo type="num" val="0.9"/>
        <color rgb="FF00B050"/>
        <color rgb="FFFFEB84"/>
        <color rgb="FFFF0000"/>
      </colorScale>
    </cfRule>
  </conditionalFormatting>
  <conditionalFormatting sqref="M52:O202">
    <cfRule type="expression" dxfId="7" priority="4">
      <formula>$M52&lt;0%</formula>
    </cfRule>
    <cfRule type="expression" dxfId="6" priority="5">
      <formula>$M52=0%</formula>
    </cfRule>
    <cfRule type="expression" dxfId="5" priority="6" stopIfTrue="1">
      <formula>AND($M52=100%,$N52&gt;100%)</formula>
    </cfRule>
    <cfRule type="expression" dxfId="4" priority="7" stopIfTrue="1">
      <formula>AND($M52=100%,$N52&lt;=100%)</formula>
    </cfRule>
    <cfRule type="expression" dxfId="3" priority="8" stopIfTrue="1">
      <formula>AND($N52&gt;($M52),$M52&gt;0)</formula>
    </cfRule>
  </conditionalFormatting>
  <conditionalFormatting sqref="M204:O204">
    <cfRule type="expression" dxfId="2" priority="1" stopIfTrue="1">
      <formula>AND($M204=100%,$N204&gt;100%)</formula>
    </cfRule>
    <cfRule type="expression" dxfId="1" priority="2" stopIfTrue="1">
      <formula>AND($M204=100%,$N204&lt;=100%)</formula>
    </cfRule>
    <cfRule type="expression" dxfId="0" priority="3" stopIfTrue="1">
      <formula>$N204&gt;$M204</formula>
    </cfRule>
  </conditionalFormatting>
  <pageMargins left="0.25" right="0.25" top="0.75" bottom="0.75" header="0.3" footer="0.3"/>
  <pageSetup paperSize="9" scale="52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rm xmlns="090348a0-7c13-4922-bfaa-73d8db19984d" xsi:nil="true"/>
    <Meilenstein xmlns="090348a0-7c13-4922-bfaa-73d8db19984d" xsi:nil="true"/>
    <Marge_x0020_soll xmlns="090348a0-7c13-4922-bfaa-73d8db19984d" xsi:nil="true"/>
    <TaxCatchAll xmlns="1db6efff-2ad1-48d8-814a-39f03ee5f728" xsi:nil="true"/>
    <_dlc_DocId xmlns="090348a0-7c13-4922-bfaa-73d8db19984d">EWF37W27D74V-1797387322-2053</_dlc_DocId>
    <_dlc_DocIdUrl xmlns="090348a0-7c13-4922-bfaa-73d8db19984d">
      <Url>https://buschvacuum.sharepoint.com/sites/pv-de30-portal/_layouts/15/DocIdRedir.aspx?ID=EWF37W27D74V-1797387322-2053</Url>
      <Description>EWF37W27D74V-1797387322-2053</Description>
    </_dlc_DocIdUrl>
    <Org._x0020_Bereich xmlns="090348a0-7c13-4922-bfaa-73d8db19984d">
      <Value>PM - Projektmanagement</Value>
    </Org._x0020_Bereich>
    <_dlc_DocIdPersistId xmlns="090348a0-7c13-4922-bfaa-73d8db19984d" xsi:nil="true"/>
    <Projekt xmlns="090348a0-7c13-4922-bfaa-73d8db19984d" xsi:nil="true"/>
    <Abgeschlossen xmlns="090348a0-7c13-4922-bfaa-73d8db19984d">Laufend</Abgeschlossen>
    <DocumentSetDescription xmlns="http://schemas.microsoft.com/sharepoint/v3" xsi:nil="true"/>
    <_EndDate xmlns="http://schemas.microsoft.com/sharepoint/v3/fields">2025-03-13T09:16:27+00:00</_EndDate>
    <Projektgruppe xmlns="090348a0-7c13-4922-bfaa-73d8db19984d" xsi:nil="true"/>
    <Ursprung xmlns="090348a0-7c13-4922-bfaa-73d8db19984d">Original (SharePoint)</Ursprung>
    <Projekt_x0020_Typ xmlns="090348a0-7c13-4922-bfaa-73d8db19984d">ETO</Projekt_x0020_Typ>
    <Ext._x0020_Version xmlns="090348a0-7c13-4922-bfaa-73d8db19984d" xsi:nil="true"/>
    <Startdatum xmlns="090348a0-7c13-4922-bfaa-73d8db19984d" xsi:nil="true"/>
    <Herstellkosten_x0020_soll xmlns="090348a0-7c13-4922-bfaa-73d8db19984d" xsi:nil="true"/>
    <Seriennummer xmlns="090348a0-7c13-4922-bfaa-73d8db19984d" xsi:nil="true"/>
    <Dokumentenherkunft xmlns="090348a0-7c13-4922-bfaa-73d8db19984d">Intern</Dokumentenherkunft>
    <Endkunde xmlns="090348a0-7c13-4922-bfaa-73d8db19984d" xsi:nil="true"/>
    <Bez._x0020__x002f__x0020_Artikel xmlns="090348a0-7c13-4922-bfaa-73d8db19984d" xsi:nil="true"/>
    <Archiviert xmlns="090348a0-7c13-4922-bfaa-73d8db19984d">false</Archiviert>
    <Dokumententyp xmlns="090348a0-7c13-4922-bfaa-73d8db19984d">Information</Dokumententyp>
    <Projektphase xmlns="090348a0-7c13-4922-bfaa-73d8db19984d">01 Angelegt</Projektphase>
    <Relevanz xmlns="090348a0-7c13-4922-bfaa-73d8db19984d">
      <Value>Auftrag</Value>
    </Relevanz>
    <Herstellkosten_x0020_ist xmlns="090348a0-7c13-4922-bfaa-73d8db19984d" xsi:nil="true"/>
    <Umsatz xmlns="090348a0-7c13-4922-bfaa-73d8db19984d" xsi:nil="true"/>
    <Projektmanager xmlns="090348a0-7c13-4922-bfaa-73d8db19984d">
      <UserInfo>
        <DisplayName/>
        <AccountId xsi:nil="true"/>
        <AccountType/>
      </UserInfo>
    </Projektmanager>
    <Kunden_x005f_x0020_Name xmlns="090348a0-7c13-4922-bfaa-73d8db19984d" xsi:nil="true"/>
    <lcf76f155ced4ddcb4097134ff3c332f xmlns="aca3ac3f-f2ed-4e95-85d1-b9a4251b685c">
      <Terms xmlns="http://schemas.microsoft.com/office/infopath/2007/PartnerControls"/>
    </lcf76f155ced4ddcb4097134ff3c332f>
    <Projekt_x0020_Status xmlns="090348a0-7c13-4922-bfaa-73d8db19984d">Neu</Projekt_x0020_Status>
    <Kunden_x005f_x0020_Nr xmlns="090348a0-7c13-4922-bfaa-73d8db19984d" xsi:nil="true"/>
    <Formularcode xmlns="090348a0-7c13-4922-bfaa-73d8db19984d" xsi:nil="true"/>
    <Marge_x0020_ist xmlns="090348a0-7c13-4922-bfaa-73d8db19984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E30 Projekt Dokument" ma:contentTypeID="0x0101004F6ED9B8C6DA594BA7F080E7CB1C59030090DC63F6538BD24781E1EEFE24FF468F" ma:contentTypeVersion="23" ma:contentTypeDescription="" ma:contentTypeScope="" ma:versionID="e829edd11dab7c7fd7e8a1f1944fb102">
  <xsd:schema xmlns:xsd="http://www.w3.org/2001/XMLSchema" xmlns:xs="http://www.w3.org/2001/XMLSchema" xmlns:p="http://schemas.microsoft.com/office/2006/metadata/properties" xmlns:ns1="http://schemas.microsoft.com/sharepoint/v3" xmlns:ns2="090348a0-7c13-4922-bfaa-73d8db19984d" xmlns:ns3="aca3ac3f-f2ed-4e95-85d1-b9a4251b685c" xmlns:ns4="http://schemas.microsoft.com/sharepoint/v3/fields" xmlns:ns5="1db6efff-2ad1-48d8-814a-39f03ee5f728" targetNamespace="http://schemas.microsoft.com/office/2006/metadata/properties" ma:root="true" ma:fieldsID="c80dc0e515f8e7a759089dd90ceeabf5" ns1:_="" ns2:_="" ns3:_="" ns4:_="" ns5:_="">
    <xsd:import namespace="http://schemas.microsoft.com/sharepoint/v3"/>
    <xsd:import namespace="090348a0-7c13-4922-bfaa-73d8db19984d"/>
    <xsd:import namespace="aca3ac3f-f2ed-4e95-85d1-b9a4251b685c"/>
    <xsd:import namespace="http://schemas.microsoft.com/sharepoint/v3/fields"/>
    <xsd:import namespace="1db6efff-2ad1-48d8-814a-39f03ee5f728"/>
    <xsd:element name="properties">
      <xsd:complexType>
        <xsd:sequence>
          <xsd:element name="documentManagement">
            <xsd:complexType>
              <xsd:all>
                <xsd:element ref="ns2:Ursprung" minOccurs="0"/>
                <xsd:element ref="ns2:Projekt_x0020_Typ"/>
                <xsd:element ref="ns2:Dokumententyp"/>
                <xsd:element ref="ns2:Ext._x0020_Version" minOccurs="0"/>
                <xsd:element ref="ns2:Formularcode" minOccurs="0"/>
                <xsd:element ref="ns2:Projekt_x0020_Status"/>
                <xsd:element ref="ns2:Relevanz" minOccurs="0"/>
                <xsd:element ref="ns2:Dokumentenherkunft"/>
                <xsd:element ref="ns2:Org._x0020_Bereich" minOccurs="0"/>
                <xsd:element ref="ns2:Norm" minOccurs="0"/>
                <xsd:element ref="ns2:Endkunde" minOccurs="0"/>
                <xsd:element ref="ns2:Projekt" minOccurs="0"/>
                <xsd:element ref="ns2:Projektmanager" minOccurs="0"/>
                <xsd:element ref="ns2:Kunden_x005f_x0020_Name" minOccurs="0"/>
                <xsd:element ref="ns2:Kunden_x005f_x0020_Nr" minOccurs="0"/>
                <xsd:element ref="ns2:Bez._x0020__x002f__x0020_Artikel" minOccurs="0"/>
                <xsd:element ref="ns2:Projektphase" minOccurs="0"/>
                <xsd:element ref="ns2:Meilenstein" minOccurs="0"/>
                <xsd:element ref="ns2:Archiviert" minOccurs="0"/>
                <xsd:element ref="ns2:Seriennummer" minOccurs="0"/>
                <xsd:element ref="ns2:Startdatum" minOccurs="0"/>
                <xsd:element ref="ns2:Herstellkosten_x0020_ist" minOccurs="0"/>
                <xsd:element ref="ns4:_EndDate" minOccurs="0"/>
                <xsd:element ref="ns2:Umsatz" minOccurs="0"/>
                <xsd:element ref="ns2:Abgeschlossen" minOccurs="0"/>
                <xsd:element ref="ns2:Marge_x0020_soll" minOccurs="0"/>
                <xsd:element ref="ns1:DocumentSetDescription" minOccurs="0"/>
                <xsd:element ref="ns2:_dlc_DocId" minOccurs="0"/>
                <xsd:element ref="ns2:_dlc_DocIdPersistId" minOccurs="0"/>
                <xsd:element ref="ns2:Herstellkosten_x0020_soll" minOccurs="0"/>
                <xsd:element ref="ns2:Marge_x0020_ist" minOccurs="0"/>
                <xsd:element ref="ns2:_dlc_DocIdUrl" minOccurs="0"/>
                <xsd:element ref="ns3:lcf76f155ced4ddcb4097134ff3c332f" minOccurs="0"/>
                <xsd:element ref="ns5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Projektgrupp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29" nillable="true" ma:displayName="Beschreibung" ma:description="Eine Beschreibung der Dokumentenmappe" ma:hidden="true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348a0-7c13-4922-bfaa-73d8db19984d" elementFormDefault="qualified">
    <xsd:import namespace="http://schemas.microsoft.com/office/2006/documentManagement/types"/>
    <xsd:import namespace="http://schemas.microsoft.com/office/infopath/2007/PartnerControls"/>
    <xsd:element name="Ursprung" ma:index="1" nillable="true" ma:displayName="Ursprung" ma:default="Original (SharePoint)" ma:format="Dropdown" ma:internalName="Ursprung" ma:readOnly="false">
      <xsd:simpleType>
        <xsd:restriction base="dms:Choice">
          <xsd:enumeration value="Original (SharePoint)"/>
          <xsd:enumeration value="MyFactory"/>
          <xsd:enumeration value="PDM"/>
          <xsd:enumeration value="QStudio"/>
        </xsd:restriction>
      </xsd:simpleType>
    </xsd:element>
    <xsd:element name="Projekt_x0020_Typ" ma:index="2" ma:displayName="Projekt Typ" ma:default="" ma:format="Dropdown" ma:internalName="Projekt_x0020_Typ" ma:readOnly="false">
      <xsd:simpleType>
        <xsd:restriction base="dms:Choice">
          <xsd:enumeration value="ETO"/>
          <xsd:enumeration value="MTO"/>
          <xsd:enumeration value="PTO"/>
        </xsd:restriction>
      </xsd:simpleType>
    </xsd:element>
    <xsd:element name="Dokumententyp" ma:index="3" ma:displayName="Dokumententyp" ma:format="Dropdown" ma:internalName="Dokumententyp">
      <xsd:simpleType>
        <xsd:restriction base="dms:Choice">
          <xsd:enumeration value="Anfrage"/>
          <xsd:enumeration value="Zeichnung"/>
          <xsd:enumeration value="Modell"/>
          <xsd:enumeration value="Spezifikation"/>
          <xsd:enumeration value="Datenblatt"/>
          <xsd:enumeration value="Protokolle"/>
          <xsd:enumeration value="Information"/>
          <xsd:enumeration value="ERP Beleg"/>
          <xsd:enumeration value="Vorlage"/>
          <xsd:enumeration value="Materialzeugniss"/>
          <xsd:enumeration value="E-Mail"/>
        </xsd:restriction>
      </xsd:simpleType>
    </xsd:element>
    <xsd:element name="Ext._x0020_Version" ma:index="4" nillable="true" ma:displayName="Ext. Version" ma:internalName="Ext_x002e__x0020_Version" ma:readOnly="false">
      <xsd:simpleType>
        <xsd:restriction base="dms:Text">
          <xsd:maxLength value="255"/>
        </xsd:restriction>
      </xsd:simpleType>
    </xsd:element>
    <xsd:element name="Formularcode" ma:index="5" nillable="true" ma:displayName="Formularcode" ma:internalName="Formularcode" ma:readOnly="false">
      <xsd:simpleType>
        <xsd:restriction base="dms:Text">
          <xsd:maxLength value="255"/>
        </xsd:restriction>
      </xsd:simpleType>
    </xsd:element>
    <xsd:element name="Projekt_x0020_Status" ma:index="6" ma:displayName="Dokumenten Status" ma:default="Neu" ma:description="Beschreibt den Status des Dokuments" ma:format="Dropdown" ma:internalName="Projekt_x0020_Status">
      <xsd:simpleType>
        <xsd:restriction base="dms:Choice">
          <xsd:enumeration value="Neu"/>
          <xsd:enumeration value="In Arbeit"/>
          <xsd:enumeration value="Abgeschlossen"/>
          <xsd:enumeration value="Nicht mehr Relevant"/>
        </xsd:restriction>
      </xsd:simpleType>
    </xsd:element>
    <xsd:element name="Relevanz" ma:index="7" nillable="true" ma:displayName="Relevanz" ma:format="Dropdown" ma:internalName="Relevanz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ngebot"/>
                    <xsd:enumeration value="Auftrag"/>
                    <xsd:enumeration value="Dokumentation"/>
                    <xsd:enumeration value="Vorkalkulation"/>
                  </xsd:restriction>
                </xsd:simpleType>
              </xsd:element>
            </xsd:sequence>
          </xsd:extension>
        </xsd:complexContent>
      </xsd:complexType>
    </xsd:element>
    <xsd:element name="Dokumentenherkunft" ma:index="8" ma:displayName="Dokumentenherkunft" ma:format="Dropdown" ma:internalName="Dokumentenherkunft" ma:readOnly="false">
      <xsd:simpleType>
        <xsd:restriction base="dms:Choice">
          <xsd:enumeration value="Kunde"/>
          <xsd:enumeration value="Lieferant"/>
          <xsd:enumeration value="Intern"/>
          <xsd:enumeration value="Gruppe"/>
          <xsd:enumeration value="Inter company"/>
        </xsd:restriction>
      </xsd:simpleType>
    </xsd:element>
    <xsd:element name="Org._x0020_Bereich" ma:index="9" nillable="true" ma:displayName="Fachbereich" ma:default="SaSu - SalesSupport" ma:internalName="Org_x002e__x0020_Bereic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Su - SalesSupport"/>
                    <xsd:enumeration value="PS - PreSales"/>
                    <xsd:enumeration value="PM - Projektmanagement"/>
                    <xsd:enumeration value="KO - Konstruktion"/>
                    <xsd:enumeration value="P - Fertigung"/>
                    <xsd:enumeration value="P - Montage"/>
                    <xsd:enumeration value="PP - ProductionPlaning"/>
                    <xsd:enumeration value="QS - Qualität"/>
                    <xsd:enumeration value="Einkauf"/>
                    <xsd:enumeration value="Logistik"/>
                    <xsd:enumeration value="IT"/>
                    <xsd:enumeration value="C - Controlling"/>
                    <xsd:enumeration value="HR - Personalwesen"/>
                  </xsd:restriction>
                </xsd:simpleType>
              </xsd:element>
            </xsd:sequence>
          </xsd:extension>
        </xsd:complexContent>
      </xsd:complexType>
    </xsd:element>
    <xsd:element name="Norm" ma:index="10" nillable="true" ma:displayName="Norm" ma:internalName="Norm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aschinenrichtlinie"/>
                    <xsd:enumeration value="Druckgeräterichtlinie"/>
                    <xsd:enumeration value="Niederspannungsrichtlinie"/>
                    <xsd:enumeration value="Produktsicherheitsverordnung"/>
                    <xsd:enumeration value="CE"/>
                  </xsd:restriction>
                </xsd:simpleType>
              </xsd:element>
            </xsd:sequence>
          </xsd:extension>
        </xsd:complexContent>
      </xsd:complexType>
    </xsd:element>
    <xsd:element name="Endkunde" ma:index="11" nillable="true" ma:displayName="Endkunde" ma:internalName="Endkunde" ma:readOnly="false">
      <xsd:simpleType>
        <xsd:restriction base="dms:Text">
          <xsd:maxLength value="255"/>
        </xsd:restriction>
      </xsd:simpleType>
    </xsd:element>
    <xsd:element name="Projekt" ma:index="12" nillable="true" ma:displayName="Projekt" ma:internalName="Projekt" ma:readOnly="false">
      <xsd:simpleType>
        <xsd:restriction base="dms:Text">
          <xsd:maxLength value="255"/>
        </xsd:restriction>
      </xsd:simpleType>
    </xsd:element>
    <xsd:element name="Projektmanager" ma:index="13" nillable="true" ma:displayName="Projektmanager" ma:list="UserInfo" ma:SharePointGroup="0" ma:internalName="Projekt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unden_x005f_x0020_Name" ma:index="14" nillable="true" ma:displayName="Kunde Bezeichnung" ma:internalName="Kunden_x0020_Name" ma:readOnly="false">
      <xsd:simpleType>
        <xsd:restriction base="dms:Text">
          <xsd:maxLength value="255"/>
        </xsd:restriction>
      </xsd:simpleType>
    </xsd:element>
    <xsd:element name="Kunden_x005f_x0020_Nr" ma:index="15" nillable="true" ma:displayName="Kundennummer" ma:internalName="Kunden_x0020_Nr" ma:readOnly="false">
      <xsd:simpleType>
        <xsd:restriction base="dms:Text">
          <xsd:maxLength value="255"/>
        </xsd:restriction>
      </xsd:simpleType>
    </xsd:element>
    <xsd:element name="Bez._x0020__x002f__x0020_Artikel" ma:index="16" nillable="true" ma:displayName="Bez. / Artikel" ma:internalName="Bez_x002e__x0020__x002F__x0020_Artikel" ma:readOnly="false">
      <xsd:simpleType>
        <xsd:restriction base="dms:Note">
          <xsd:maxLength value="255"/>
        </xsd:restriction>
      </xsd:simpleType>
    </xsd:element>
    <xsd:element name="Projektphase" ma:index="17" nillable="true" ma:displayName="Projektphase" ma:default="01 Angelegt" ma:format="Dropdown" ma:internalName="Projektphase">
      <xsd:simpleType>
        <xsd:restriction base="dms:Choice">
          <xsd:enumeration value="01 Angelegt"/>
          <xsd:enumeration value="02 Wiedervorlage Kunde"/>
          <xsd:enumeration value="03 Wiedervorlage SaSu"/>
          <xsd:enumeration value="04 Wiedervorlage PM"/>
          <xsd:enumeration value="05 In Bearbeitung Pre-Sales"/>
          <xsd:enumeration value="06 VK Abgeschlossen"/>
          <xsd:enumeration value="07 In Bearbeitung"/>
          <xsd:enumeration value="08 In Konstruktion"/>
          <xsd:enumeration value="09 In Beschaffung"/>
          <xsd:enumeration value="10 In Produktion"/>
          <xsd:enumeration value="11 In Montage"/>
          <xsd:enumeration value="12 Versendet"/>
        </xsd:restriction>
      </xsd:simpleType>
    </xsd:element>
    <xsd:element name="Meilenstein" ma:index="18" nillable="true" ma:displayName="Meilenstein" ma:format="Dropdown" ma:internalName="Meilenstein" ma:readOnly="false">
      <xsd:simpleType>
        <xsd:restriction base="dms:Choice">
          <xsd:enumeration value="[M1] Bestellung eingegangen"/>
          <xsd:enumeration value="[M2] Vorplanung abgeschlossen"/>
          <xsd:enumeration value="[M3] Konstruktion: Entwurf freigegeben"/>
          <xsd:enumeration value="[M4] Konstruktion: Übergabe PP erfolgt"/>
          <xsd:enumeration value="[M5] Produktion: Montagebereitschaft erreicht"/>
          <xsd:enumeration value="[M6] FAT durchgeführt"/>
          <xsd:enumeration value="[M7] Produkt versandt"/>
        </xsd:restriction>
      </xsd:simpleType>
    </xsd:element>
    <xsd:element name="Archiviert" ma:index="19" nillable="true" ma:displayName="Archiviert" ma:default="0" ma:indexed="true" ma:internalName="Archiviert">
      <xsd:simpleType>
        <xsd:restriction base="dms:Boolean"/>
      </xsd:simpleType>
    </xsd:element>
    <xsd:element name="Seriennummer" ma:index="21" nillable="true" ma:displayName="Seriennummer" ma:internalName="Seriennummer" ma:readOnly="false">
      <xsd:simpleType>
        <xsd:restriction base="dms:Text">
          <xsd:maxLength value="255"/>
        </xsd:restriction>
      </xsd:simpleType>
    </xsd:element>
    <xsd:element name="Startdatum" ma:index="22" nillable="true" ma:displayName="Startdatum" ma:format="DateOnly" ma:hidden="true" ma:internalName="Startdatum" ma:readOnly="false">
      <xsd:simpleType>
        <xsd:restriction base="dms:DateTime"/>
      </xsd:simpleType>
    </xsd:element>
    <xsd:element name="Herstellkosten_x0020_ist" ma:index="23" nillable="true" ma:displayName="Herstellkosten ist" ma:hidden="true" ma:LCID="1031" ma:internalName="Herstellkosten_x0020_ist" ma:readOnly="false">
      <xsd:simpleType>
        <xsd:restriction base="dms:Currency"/>
      </xsd:simpleType>
    </xsd:element>
    <xsd:element name="Umsatz" ma:index="25" nillable="true" ma:displayName="Umsatz" ma:hidden="true" ma:LCID="1031" ma:internalName="Umsatz" ma:readOnly="false">
      <xsd:simpleType>
        <xsd:restriction base="dms:Currency"/>
      </xsd:simpleType>
    </xsd:element>
    <xsd:element name="Abgeschlossen" ma:index="26" nillable="true" ma:displayName="Status" ma:default="Laufend" ma:format="Dropdown" ma:hidden="true" ma:indexed="true" ma:internalName="Abgeschlossen">
      <xsd:simpleType>
        <xsd:restriction base="dms:Choice">
          <xsd:enumeration value="Laufend"/>
          <xsd:enumeration value="Abgeschlossen"/>
        </xsd:restriction>
      </xsd:simpleType>
    </xsd:element>
    <xsd:element name="Marge_x0020_soll" ma:index="27" nillable="true" ma:displayName="Marge soll" ma:hidden="true" ma:internalName="Marge_x0020_soll" ma:readOnly="false" ma:percentage="TRUE">
      <xsd:simpleType>
        <xsd:restriction base="dms:Number"/>
      </xsd:simpleType>
    </xsd:element>
    <xsd:element name="_dlc_DocId" ma:index="33" nillable="true" ma:displayName="Wert der Dokument-ID" ma:description="Der Wert der diesem Element zugewiesenen Dokument-ID." ma:hidden="true" ma:internalName="_dlc_DocId" ma:readOnly="false">
      <xsd:simpleType>
        <xsd:restriction base="dms:Text"/>
      </xsd:simpleType>
    </xsd:element>
    <xsd:element name="_dlc_DocIdPersistId" ma:index="35" nillable="true" ma:displayName="Beständige ID" ma:description="ID beim Hinzufügen beibehalten." ma:hidden="true" ma:internalName="_dlc_DocIdPersistId" ma:readOnly="false">
      <xsd:simpleType>
        <xsd:restriction base="dms:Boolean"/>
      </xsd:simpleType>
    </xsd:element>
    <xsd:element name="Herstellkosten_x0020_soll" ma:index="37" nillable="true" ma:displayName="Herstellkosten soll" ma:hidden="true" ma:LCID="1031" ma:internalName="Herstellkosten_x0020_soll" ma:readOnly="false">
      <xsd:simpleType>
        <xsd:restriction base="dms:Currency"/>
      </xsd:simpleType>
    </xsd:element>
    <xsd:element name="Marge_x0020_ist" ma:index="38" nillable="true" ma:displayName="Marge ist" ma:hidden="true" ma:internalName="Marge_x0020_ist" ma:readOnly="false" ma:percentage="TRUE">
      <xsd:simpleType>
        <xsd:restriction base="dms:Number"/>
      </xsd:simpleType>
    </xsd:element>
    <xsd:element name="_dlc_DocIdUrl" ma:index="40" nillable="true" ma:displayName="Dokument-ID" ma:description="Permanenter Hyperlink zu diesem Dok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ojektgruppe" ma:index="48" nillable="true" ma:displayName="Projektgruppe" ma:format="Dropdown" ma:hidden="true" ma:internalName="Projektgruppe" ma:readOnly="false">
      <xsd:simpleType>
        <xsd:restriction base="dms:Choice">
          <xsd:enumeration value="01 Kundenprojekt &quot;A&quot;"/>
          <xsd:enumeration value="02 Kundenprojekt &quot;B&quot;"/>
          <xsd:enumeration value="03 Kundenprojekt &quot;C&quot;"/>
          <xsd:enumeration value="04 Angebotsprojekt"/>
          <xsd:enumeration value="05 Internes Projekt"/>
          <xsd:enumeration value="06 Reklamation"/>
          <xsd:enumeration value="07 Trackingliste &quot;D&quot;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3ac3f-f2ed-4e95-85d1-b9a4251b685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41" nillable="true" ma:taxonomy="true" ma:internalName="lcf76f155ced4ddcb4097134ff3c332f" ma:taxonomyFieldName="MediaServiceImageTags" ma:displayName="Bildmarkierungen" ma:readOnly="false" ma:fieldId="{5cf76f15-5ced-4ddc-b409-7134ff3c332f}" ma:taxonomyMulti="true" ma:sspId="963122e7-982b-454a-87f0-5747296ca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7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4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EndDate" ma:index="24" nillable="true" ma:displayName="Enddatum" ma:default="[today]" ma:format="DateTime" ma:hidden="true" ma:internalName="_En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6efff-2ad1-48d8-814a-39f03ee5f728" elementFormDefault="qualified">
    <xsd:import namespace="http://schemas.microsoft.com/office/2006/documentManagement/types"/>
    <xsd:import namespace="http://schemas.microsoft.com/office/infopath/2007/PartnerControls"/>
    <xsd:element name="TaxCatchAll" ma:index="42" nillable="true" ma:displayName="Taxonomy Catch All Column" ma:hidden="true" ma:list="{cd6971ef-2593-4d61-bee6-5aa580e60f93}" ma:internalName="TaxCatchAll" ma:readOnly="false" ma:showField="CatchAllData" ma:web="090348a0-7c13-4922-bfaa-73d8db199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631FC7-7007-4B1C-A799-48B6A225B63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9B0ABD9-73E2-43AA-AAEC-E112B20D5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7F5341-CCE7-4A96-BF19-375B2DD3AF69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1db6efff-2ad1-48d8-814a-39f03ee5f728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90348a0-7c13-4922-bfaa-73d8db19984d"/>
    <ds:schemaRef ds:uri="http://schemas.microsoft.com/sharepoint/v3/fields"/>
    <ds:schemaRef ds:uri="aca3ac3f-f2ed-4e95-85d1-b9a4251b685c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89F9F833-A342-4194-9EB8-5A201600E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0348a0-7c13-4922-bfaa-73d8db19984d"/>
    <ds:schemaRef ds:uri="aca3ac3f-f2ed-4e95-85d1-b9a4251b685c"/>
    <ds:schemaRef ds:uri="http://schemas.microsoft.com/sharepoint/v3/fields"/>
    <ds:schemaRef ds:uri="1db6efff-2ad1-48d8-814a-39f03ee5f7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Info</vt:lpstr>
      <vt:lpstr>Projektabschluss</vt:lpstr>
      <vt:lpstr>Arbeitsgänge</vt:lpstr>
      <vt:lpstr>BSP</vt:lpstr>
      <vt:lpstr>template</vt:lpstr>
      <vt:lpstr>KW14</vt:lpstr>
      <vt:lpstr>KW46</vt:lpstr>
      <vt:lpstr>KW53</vt:lpstr>
    </vt:vector>
  </TitlesOfParts>
  <Manager/>
  <Company>Trinos Vakuum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Dücker, Eibe</dc:creator>
  <cp:keywords/>
  <dc:description/>
  <cp:lastModifiedBy>Phillip Plomer</cp:lastModifiedBy>
  <cp:revision/>
  <dcterms:created xsi:type="dcterms:W3CDTF">2020-01-21T15:22:46Z</dcterms:created>
  <dcterms:modified xsi:type="dcterms:W3CDTF">2025-12-29T17:38:19Z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0x0101004F6ED9B8C6DA594BA7F080E7CB1C59030090DC63F6538BD24781E1EEFE24FF468F</vt:lpwstr>
  </property>
  <property fmtid="{D5CDD505-2E9C-101B-9397-08002B2CF9AE}" pid="3" name="_dlc_DocIdItemGuid">
    <vt:lpwstr>9e45f846-f413-48f8-a919-495ed3883137</vt:lpwstr>
  </property>
  <property fmtid="{D5CDD505-2E9C-101B-9397-08002B2CF9AE}" pid="4" name="MediaServiceImageTags">
    <vt:lpwstr/>
  </property>
</Properties>
</file>